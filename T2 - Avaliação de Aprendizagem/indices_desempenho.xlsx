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ção" sheetId="1" state="visible" r:id="rId3"/>
    <sheet name="Parâmetros" sheetId="2" state="visible" r:id="rId4"/>
    <sheet name="Atual_Q1" sheetId="3" state="visible" r:id="rId5"/>
    <sheet name="Atual_Q2" sheetId="4" state="visible" r:id="rId6"/>
    <sheet name="Atual_Q3" sheetId="5" state="visible" r:id="rId7"/>
    <sheet name="Melhorado_Q1" sheetId="6" state="visible" r:id="rId8"/>
    <sheet name="Melhorado_Q2" sheetId="7" state="visible" r:id="rId9"/>
    <sheet name="Melhorado_Q3" sheetId="8" state="visible" r:id="rId10"/>
    <sheet name="Sem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<sst xmlns="http://schemas.openxmlformats.org/spreadsheetml/2006/main" count="316" uniqueCount="76">
  <si>
    <t xml:space="preserve">Comparação: modelo atual x modelo melhorado</t>
  </si>
  <si>
    <t xml:space="preserve">Verde = ligação com as outras abas. Variação = melhorado / atual - 1. Tempo em minutos, vazão em clientes por hora.</t>
  </si>
  <si>
    <t xml:space="preserve">Fila</t>
  </si>
  <si>
    <t xml:space="preserve">Índice</t>
  </si>
  <si>
    <t xml:space="preserve">Atual (sem. 1)</t>
  </si>
  <si>
    <t xml:space="preserve">Melhorado (sem. 1)</t>
  </si>
  <si>
    <t xml:space="preserve">Variação</t>
  </si>
  <si>
    <t xml:space="preserve">Atual (média 5 sem.)</t>
  </si>
  <si>
    <t xml:space="preserve">Melhorado (média 5 sem.)</t>
  </si>
  <si>
    <t xml:space="preserve">Q1 (N1 - Triagem)</t>
  </si>
  <si>
    <t xml:space="preserve">Perdas</t>
  </si>
  <si>
    <t xml:space="preserve">População (N)</t>
  </si>
  <si>
    <t xml:space="preserve">Vazão (D)</t>
  </si>
  <si>
    <t xml:space="preserve">Utilização (U)</t>
  </si>
  <si>
    <t xml:space="preserve">Tempo de resposta (W)</t>
  </si>
  <si>
    <t xml:space="preserve">Q2 (N2 - Especialista)</t>
  </si>
  <si>
    <t xml:space="preserve">Q3 (N3 - Desenvolvimento)</t>
  </si>
  <si>
    <t xml:space="preserve">A vazão (D) do N2 e do N3 cai porque, com menos chamados escalando, chega menos trabalho a eles; não é perda de capacidade.</t>
  </si>
  <si>
    <t xml:space="preserve">Parâmetros dos modelos (unidade de tempo: minutos)</t>
  </si>
  <si>
    <t xml:space="preserve">Azul = lido do .yml. MU é a taxa de atendimento de um servidor, em clientes por hora: 60 / tempo médio de atendimento.</t>
  </si>
  <si>
    <t xml:space="preserve">Modelo</t>
  </si>
  <si>
    <t xml:space="preserve">Papel</t>
  </si>
  <si>
    <t xml:space="preserve">Kendall</t>
  </si>
  <si>
    <t xml:space="preserve">Servidores (C)</t>
  </si>
  <si>
    <t xml:space="preserve">Capacidade (K)</t>
  </si>
  <si>
    <t xml:space="preserve">Atend. mín</t>
  </si>
  <si>
    <t xml:space="preserve">Atend. máx</t>
  </si>
  <si>
    <t xml:space="preserve">Tempo médio</t>
  </si>
  <si>
    <t xml:space="preserve">MU (cl/h)</t>
  </si>
  <si>
    <t xml:space="preserve">Chegada mín</t>
  </si>
  <si>
    <t xml:space="preserve">Chegada máx</t>
  </si>
  <si>
    <t xml:space="preserve">1ª chegada</t>
  </si>
  <si>
    <t xml:space="preserve">Atual</t>
  </si>
  <si>
    <t xml:space="preserve">Q1</t>
  </si>
  <si>
    <t xml:space="preserve">N1 - Triagem</t>
  </si>
  <si>
    <t xml:space="preserve">G/G/2/∞</t>
  </si>
  <si>
    <t xml:space="preserve">∞</t>
  </si>
  <si>
    <t xml:space="preserve">Q2</t>
  </si>
  <si>
    <t xml:space="preserve">N2 - Especialista</t>
  </si>
  <si>
    <t xml:space="preserve">G/G/2/10</t>
  </si>
  <si>
    <t xml:space="preserve">Q3</t>
  </si>
  <si>
    <t xml:space="preserve">N3 - Desenvolvimento</t>
  </si>
  <si>
    <t xml:space="preserve">G/G/1/5</t>
  </si>
  <si>
    <t xml:space="preserve">Melhorado</t>
  </si>
  <si>
    <t xml:space="preserve">Roteamento entre as filas</t>
  </si>
  <si>
    <t xml:space="preserve">Origem</t>
  </si>
  <si>
    <t xml:space="preserve">Destino</t>
  </si>
  <si>
    <t xml:space="preserve">Prob. atual</t>
  </si>
  <si>
    <t xml:space="preserve">Prob. melhorado</t>
  </si>
  <si>
    <t xml:space="preserve">sai da rede (resolvido)</t>
  </si>
  <si>
    <t xml:space="preserve">Amarelo = parâmetro alterado na melhoria.</t>
  </si>
  <si>
    <t xml:space="preserve">Atual - Q1 (N1 - Triagem)</t>
  </si>
  <si>
    <t xml:space="preserve">MU (clientes/h)</t>
  </si>
  <si>
    <t xml:space="preserve">Tempo global (min)</t>
  </si>
  <si>
    <t xml:space="preserve">i</t>
  </si>
  <si>
    <t xml:space="preserve">Tempo acumulado (min)</t>
  </si>
  <si>
    <t xml:space="preserve">Probabilidade</t>
  </si>
  <si>
    <t xml:space="preserve">N (clientes)</t>
  </si>
  <si>
    <t xml:space="preserve">D (cl/h)</t>
  </si>
  <si>
    <t xml:space="preserve">U</t>
  </si>
  <si>
    <t xml:space="preserve">Total</t>
  </si>
  <si>
    <t xml:space="preserve">W (horas) = N / D</t>
  </si>
  <si>
    <t xml:space="preserve">W (minutos)</t>
  </si>
  <si>
    <t xml:space="preserve">Soma dos tempos = tempo global?</t>
  </si>
  <si>
    <t xml:space="preserve">Atual - Q2 (N2 - Especialista)</t>
  </si>
  <si>
    <t xml:space="preserve">Atual - Q3 (N3 - Desenvolvimento)</t>
  </si>
  <si>
    <t xml:space="preserve">Melhorado - Q1 (N1 - Triagem)</t>
  </si>
  <si>
    <t xml:space="preserve">Melhorado - Q2 (N2 - Especialista)</t>
  </si>
  <si>
    <t xml:space="preserve">Melhorado - Q3 (N3 - Desenvolvimento)</t>
  </si>
  <si>
    <t xml:space="preserve">Mesmos modelos com 5 sementes (100.000 aleatórios cada)</t>
  </si>
  <si>
    <t xml:space="preserve">Azul = resultado de cada simulação. A média e o desvio padrão são fórmulas. Mostra que os ganhos da melhoria não dependem da semente escolhida.</t>
  </si>
  <si>
    <t xml:space="preserve">Semente</t>
  </si>
  <si>
    <t xml:space="preserve">N</t>
  </si>
  <si>
    <t xml:space="preserve">W (min)</t>
  </si>
  <si>
    <t xml:space="preserve">Média</t>
  </si>
  <si>
    <t xml:space="preserve">Desvio padrão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</si>
</sst>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+0.0%;\-0.0%;0.0%"/>
    <numFmt numFmtId="167" formatCode="#,##0.0"/>
    <numFmt numFmtId="168" formatCode="0.00"/>
    <numFmt numFmtId="169" formatCode="0.0%"/>
    <numFmt numFmtId="170" formatCode="0.0"/>
    <numFmt numFmtId="171" formatCode="0.0000"/>
    <numFmt numFmtId="172" formatCode="#,##0.0000"/>
    <numFmt numFmtId="173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6</v>
      </c>
    </row>
    <row r="5" customFormat="false" ht="15" hidden="false" customHeight="false" outlineLevel="0" collapsed="false">
      <c r="A5" s="2" t="s">
        <v>9</v>
      </c>
      <c r="B5" s="2" t="s">
        <v>10</v>
      </c>
      <c r="C5" s="4" t="n">
        <f aca="false">Atual_Q1!$B$8</f>
        <v>0</v>
      </c>
      <c r="D5" s="4" t="n">
        <f aca="false">Melhorado_Q1!$B$8</f>
        <v>0</v>
      </c>
      <c r="E5" s="5" t="str">
        <f aca="false">IF(C5=0,"-",D5/C5-1)</f>
        <v>-</v>
      </c>
      <c r="F5" s="6" t="n">
        <f aca="false">Sementes!$D$10</f>
        <v>0</v>
      </c>
      <c r="G5" s="6" t="n">
        <f aca="false">Sementes!$D$34</f>
        <v>0</v>
      </c>
      <c r="H5" s="5" t="str">
        <f aca="false">IF(F5=0,"-",G5/F5-1)</f>
        <v>-</v>
      </c>
    </row>
    <row r="6" customFormat="false" ht="15" hidden="false" customHeight="false" outlineLevel="0" collapsed="false">
      <c r="A6" s="2" t="s">
        <v>9</v>
      </c>
      <c r="B6" s="2" t="s">
        <v>11</v>
      </c>
      <c r="C6" s="7" t="n">
        <f aca="false">Atual_Q1!$D$16</f>
        <v>1.41568125204773</v>
      </c>
      <c r="D6" s="7" t="n">
        <f aca="false">Melhorado_Q1!$D$16</f>
        <v>1.39488508907472</v>
      </c>
      <c r="E6" s="5" t="n">
        <f aca="false">IF(C6=0,"-",D6/C6-1)</f>
        <v>-0.0146898625258508</v>
      </c>
      <c r="F6" s="7" t="n">
        <f aca="false">Sementes!$E$10</f>
        <v>1.41133983495493</v>
      </c>
      <c r="G6" s="7" t="n">
        <f aca="false">Sementes!$E$34</f>
        <v>1.40072494018522</v>
      </c>
      <c r="H6" s="5" t="n">
        <f aca="false">IF(F6=0,"-",G6/F6-1)</f>
        <v>-0.00752114728629993</v>
      </c>
    </row>
    <row r="7" customFormat="false" ht="15" hidden="false" customHeight="false" outlineLevel="0" collapsed="false">
      <c r="A7" s="2" t="s">
        <v>9</v>
      </c>
      <c r="B7" s="2" t="s">
        <v>12</v>
      </c>
      <c r="C7" s="7" t="n">
        <f aca="false">Atual_Q1!$E$16</f>
        <v>10.41706305183</v>
      </c>
      <c r="D7" s="7" t="n">
        <f aca="false">Melhorado_Q1!$E$16</f>
        <v>10.3139826700539</v>
      </c>
      <c r="E7" s="5" t="n">
        <f aca="false">IF(C7=0,"-",D7/C7-1)</f>
        <v>-0.00989534010337156</v>
      </c>
      <c r="F7" s="7" t="n">
        <f aca="false">Sementes!$F$10</f>
        <v>10.3932156484888</v>
      </c>
      <c r="G7" s="7" t="n">
        <f aca="false">Sementes!$F$34</f>
        <v>10.3374236778124</v>
      </c>
      <c r="H7" s="5" t="n">
        <f aca="false">IF(F7=0,"-",G7/F7-1)</f>
        <v>-0.00536811440879115</v>
      </c>
    </row>
    <row r="8" customFormat="false" ht="15" hidden="false" customHeight="false" outlineLevel="0" collapsed="false">
      <c r="A8" s="2" t="s">
        <v>9</v>
      </c>
      <c r="B8" s="2" t="s">
        <v>13</v>
      </c>
      <c r="C8" s="8" t="n">
        <f aca="false">Atual_Q1!$F$16</f>
        <v>0.694470870122</v>
      </c>
      <c r="D8" s="8" t="n">
        <f aca="false">Melhorado_Q1!$F$16</f>
        <v>0.687598844670259</v>
      </c>
      <c r="E8" s="5" t="n">
        <f aca="false">IF(C8=0,"-",D8/C8-1)</f>
        <v>-0.00989534010337156</v>
      </c>
      <c r="F8" s="8" t="n">
        <f aca="false">Sementes!$G$10</f>
        <v>0.692881043232584</v>
      </c>
      <c r="G8" s="8" t="n">
        <f aca="false">Sementes!$G$34</f>
        <v>0.689161578520829</v>
      </c>
      <c r="H8" s="5" t="n">
        <f aca="false">IF(F8=0,"-",G8/F8-1)</f>
        <v>-0.00536811440879137</v>
      </c>
    </row>
    <row r="9" customFormat="false" ht="15" hidden="false" customHeight="false" outlineLevel="0" collapsed="false">
      <c r="A9" s="2" t="s">
        <v>9</v>
      </c>
      <c r="B9" s="2" t="s">
        <v>14</v>
      </c>
      <c r="C9" s="9" t="n">
        <f aca="false">Atual_Q1!$B$19</f>
        <v>8.15401372730886</v>
      </c>
      <c r="D9" s="9" t="n">
        <f aca="false">Melhorado_Q1!$B$19</f>
        <v>8.11452840496641</v>
      </c>
      <c r="E9" s="5" t="n">
        <f aca="false">IF(C9=0,"-",D9/C9-1)</f>
        <v>-0.00484244001334144</v>
      </c>
      <c r="F9" s="9" t="n">
        <f aca="false">Sementes!$H$10</f>
        <v>8.14765033515906</v>
      </c>
      <c r="G9" s="9" t="n">
        <f aca="false">Sementes!$H$34</f>
        <v>8.12999321936416</v>
      </c>
      <c r="H9" s="5" t="n">
        <f aca="false">IF(F9=0,"-",G9/F9-1)</f>
        <v>-0.00216714206778101</v>
      </c>
    </row>
    <row r="11" customFormat="false" ht="15" hidden="false" customHeight="false" outlineLevel="0" collapsed="false">
      <c r="A11" s="2" t="s">
        <v>15</v>
      </c>
      <c r="B11" s="2" t="s">
        <v>10</v>
      </c>
      <c r="C11" s="4" t="n">
        <f aca="false">Atual_Q2!$B$8</f>
        <v>2057</v>
      </c>
      <c r="D11" s="4" t="n">
        <f aca="false">Melhorado_Q2!$B$8</f>
        <v>19</v>
      </c>
      <c r="E11" s="5" t="n">
        <f aca="false">IF(C11=0,"-",D11/C11-1)</f>
        <v>-0.99076324744774</v>
      </c>
      <c r="F11" s="6" t="n">
        <f aca="false">Sementes!$D$18</f>
        <v>2249.4</v>
      </c>
      <c r="G11" s="6" t="n">
        <f aca="false">Sementes!$D$42</f>
        <v>30</v>
      </c>
      <c r="H11" s="5" t="n">
        <f aca="false">IF(F11=0,"-",G11/F11-1)</f>
        <v>-0.98666311016271</v>
      </c>
    </row>
    <row r="12" customFormat="false" ht="15" hidden="false" customHeight="false" outlineLevel="0" collapsed="false">
      <c r="A12" s="2" t="s">
        <v>15</v>
      </c>
      <c r="B12" s="2" t="s">
        <v>11</v>
      </c>
      <c r="C12" s="7" t="n">
        <f aca="false">Atual_Q2!$D$22</f>
        <v>8.17396989080396</v>
      </c>
      <c r="D12" s="7" t="n">
        <f aca="false">Melhorado_Q2!$D$22</f>
        <v>2.60866603726796</v>
      </c>
      <c r="E12" s="5" t="n">
        <f aca="false">IF(C12=0,"-",D12/C12-1)</f>
        <v>-0.68085690648276</v>
      </c>
      <c r="F12" s="7" t="n">
        <f aca="false">Sementes!$E$18</f>
        <v>8.33877105333836</v>
      </c>
      <c r="G12" s="7" t="n">
        <f aca="false">Sementes!$E$42</f>
        <v>2.84210013133221</v>
      </c>
      <c r="H12" s="5" t="n">
        <f aca="false">IF(F12=0,"-",G12/F12-1)</f>
        <v>-0.659170384562316</v>
      </c>
    </row>
    <row r="13" customFormat="false" ht="15" hidden="false" customHeight="false" outlineLevel="0" collapsed="false">
      <c r="A13" s="2" t="s">
        <v>15</v>
      </c>
      <c r="B13" s="2" t="s">
        <v>12</v>
      </c>
      <c r="C13" s="7" t="n">
        <f aca="false">Atual_Q2!$E$22</f>
        <v>3.99164297815367</v>
      </c>
      <c r="D13" s="7" t="n">
        <f aca="false">Melhorado_Q2!$E$22</f>
        <v>3.19126005156441</v>
      </c>
      <c r="E13" s="5" t="n">
        <f aca="false">IF(C13=0,"-",D13/C13-1)</f>
        <v>-0.20051465799165</v>
      </c>
      <c r="F13" s="7" t="n">
        <f aca="false">Sementes!$F$18</f>
        <v>3.99480118198915</v>
      </c>
      <c r="G13" s="7" t="n">
        <f aca="false">Sementes!$F$42</f>
        <v>3.28272438294814</v>
      </c>
      <c r="H13" s="5" t="n">
        <f aca="false">IF(F13=0,"-",G13/F13-1)</f>
        <v>-0.178250873222792</v>
      </c>
    </row>
    <row r="14" customFormat="false" ht="15" hidden="false" customHeight="false" outlineLevel="0" collapsed="false">
      <c r="A14" s="2" t="s">
        <v>15</v>
      </c>
      <c r="B14" s="2" t="s">
        <v>13</v>
      </c>
      <c r="C14" s="8" t="n">
        <f aca="false">Atual_Q2!$F$22</f>
        <v>0.997910744538417</v>
      </c>
      <c r="D14" s="8" t="n">
        <f aca="false">Melhorado_Q2!$F$22</f>
        <v>0.797815012891104</v>
      </c>
      <c r="E14" s="5" t="n">
        <f aca="false">IF(C14=0,"-",D14/C14-1)</f>
        <v>-0.20051465799165</v>
      </c>
      <c r="F14" s="8" t="n">
        <f aca="false">Sementes!$G$18</f>
        <v>0.998700295497287</v>
      </c>
      <c r="G14" s="8" t="n">
        <f aca="false">Sementes!$G$42</f>
        <v>0.820681095737036</v>
      </c>
      <c r="H14" s="5" t="n">
        <f aca="false">IF(F14=0,"-",G14/F14-1)</f>
        <v>-0.178250873222792</v>
      </c>
    </row>
    <row r="15" customFormat="false" ht="15" hidden="false" customHeight="false" outlineLevel="0" collapsed="false">
      <c r="A15" s="2" t="s">
        <v>15</v>
      </c>
      <c r="B15" s="2" t="s">
        <v>14</v>
      </c>
      <c r="C15" s="9" t="n">
        <f aca="false">Atual_Q2!$B$25</f>
        <v>122.866247340359</v>
      </c>
      <c r="D15" s="9" t="n">
        <f aca="false">Melhorado_Q2!$B$25</f>
        <v>49.0464455127524</v>
      </c>
      <c r="E15" s="5" t="n">
        <f aca="false">IF(C15=0,"-",D15/C15-1)</f>
        <v>-0.60081432798313</v>
      </c>
      <c r="F15" s="9" t="n">
        <f aca="false">Sementes!$H$18</f>
        <v>125.243160894702</v>
      </c>
      <c r="G15" s="9" t="n">
        <f aca="false">Sementes!$H$42</f>
        <v>51.9187481907654</v>
      </c>
      <c r="H15" s="5" t="n">
        <f aca="false">IF(F15=0,"-",G15/F15-1)</f>
        <v>-0.585456420774817</v>
      </c>
    </row>
    <row r="17" customFormat="false" ht="15" hidden="false" customHeight="false" outlineLevel="0" collapsed="false">
      <c r="A17" s="2" t="s">
        <v>16</v>
      </c>
      <c r="B17" s="2" t="s">
        <v>10</v>
      </c>
      <c r="C17" s="4" t="n">
        <f aca="false">Atual_Q3!$B$8</f>
        <v>79</v>
      </c>
      <c r="D17" s="4" t="n">
        <f aca="false">Melhorado_Q3!$B$8</f>
        <v>15</v>
      </c>
      <c r="E17" s="5" t="n">
        <f aca="false">IF(C17=0,"-",D17/C17-1)</f>
        <v>-0.810126582278481</v>
      </c>
      <c r="F17" s="6" t="n">
        <f aca="false">Sementes!$D$26</f>
        <v>124.6</v>
      </c>
      <c r="G17" s="6" t="n">
        <f aca="false">Sementes!$D$50</f>
        <v>28.6</v>
      </c>
      <c r="H17" s="5" t="n">
        <f aca="false">IF(F17=0,"-",G17/F17-1)</f>
        <v>-0.770465489566613</v>
      </c>
    </row>
    <row r="18" customFormat="false" ht="15" hidden="false" customHeight="false" outlineLevel="0" collapsed="false">
      <c r="A18" s="2" t="s">
        <v>16</v>
      </c>
      <c r="B18" s="2" t="s">
        <v>11</v>
      </c>
      <c r="C18" s="7" t="n">
        <f aca="false">Atual_Q3!$D$17</f>
        <v>1.92326099427398</v>
      </c>
      <c r="D18" s="7" t="n">
        <f aca="false">Melhorado_Q3!$D$17</f>
        <v>1.30476270994767</v>
      </c>
      <c r="E18" s="5" t="n">
        <f aca="false">IF(C18=0,"-",D18/C18-1)</f>
        <v>-0.321588326372621</v>
      </c>
      <c r="F18" s="7" t="n">
        <f aca="false">Sementes!$E$26</f>
        <v>2.13208122294476</v>
      </c>
      <c r="G18" s="7" t="n">
        <f aca="false">Sementes!$E$50</f>
        <v>1.38868662667366</v>
      </c>
      <c r="H18" s="5" t="n">
        <f aca="false">IF(F18=0,"-",G18/F18-1)</f>
        <v>-0.348670861255626</v>
      </c>
    </row>
    <row r="19" customFormat="false" ht="15" hidden="false" customHeight="false" outlineLevel="0" collapsed="false">
      <c r="A19" s="2" t="s">
        <v>16</v>
      </c>
      <c r="B19" s="2" t="s">
        <v>12</v>
      </c>
      <c r="C19" s="7" t="n">
        <f aca="false">Atual_Q3!$E$17</f>
        <v>1.11835315374716</v>
      </c>
      <c r="D19" s="7" t="n">
        <f aca="false">Melhorado_Q3!$E$17</f>
        <v>0.957204790250873</v>
      </c>
      <c r="E19" s="5" t="n">
        <f aca="false">IF(C19=0,"-",D19/C19-1)</f>
        <v>-0.144094343505305</v>
      </c>
      <c r="F19" s="7" t="n">
        <f aca="false">Sementes!$F$26</f>
        <v>1.1533427305336</v>
      </c>
      <c r="G19" s="7" t="n">
        <f aca="false">Sementes!$F$50</f>
        <v>0.974159755102891</v>
      </c>
      <c r="H19" s="5" t="n">
        <f aca="false">IF(F19=0,"-",G19/F19-1)</f>
        <v>-0.155359695506826</v>
      </c>
    </row>
    <row r="20" customFormat="false" ht="15" hidden="false" customHeight="false" outlineLevel="0" collapsed="false">
      <c r="A20" s="2" t="s">
        <v>16</v>
      </c>
      <c r="B20" s="2" t="s">
        <v>13</v>
      </c>
      <c r="C20" s="8" t="n">
        <f aca="false">Atual_Q3!$F$17</f>
        <v>0.838764865310368</v>
      </c>
      <c r="D20" s="8" t="n">
        <f aca="false">Melhorado_Q3!$F$17</f>
        <v>0.717903592688155</v>
      </c>
      <c r="E20" s="5" t="n">
        <f aca="false">IF(C20=0,"-",D20/C20-1)</f>
        <v>-0.144094343505305</v>
      </c>
      <c r="F20" s="8" t="n">
        <f aca="false">Sementes!$G$26</f>
        <v>0.865007047900202</v>
      </c>
      <c r="G20" s="8" t="n">
        <f aca="false">Sementes!$G$50</f>
        <v>0.730619816327168</v>
      </c>
      <c r="H20" s="5" t="n">
        <f aca="false">IF(F20=0,"-",G20/F20-1)</f>
        <v>-0.155359695506826</v>
      </c>
    </row>
    <row r="21" customFormat="false" ht="15" hidden="false" customHeight="false" outlineLevel="0" collapsed="false">
      <c r="A21" s="2" t="s">
        <v>16</v>
      </c>
      <c r="B21" s="2" t="s">
        <v>14</v>
      </c>
      <c r="C21" s="9" t="n">
        <f aca="false">Atual_Q3!$B$20</f>
        <v>103.183559924514</v>
      </c>
      <c r="D21" s="9" t="n">
        <f aca="false">Melhorado_Q3!$B$20</f>
        <v>81.7858031992739</v>
      </c>
      <c r="E21" s="5" t="n">
        <f aca="false">IF(C21=0,"-",D21/C21-1)</f>
        <v>-0.207375639500072</v>
      </c>
      <c r="F21" s="9" t="n">
        <f aca="false">Sementes!$H$26</f>
        <v>110.85857041069</v>
      </c>
      <c r="G21" s="9" t="n">
        <f aca="false">Sementes!$H$50</f>
        <v>85.5027448181177</v>
      </c>
      <c r="H21" s="5" t="n">
        <f aca="false">IF(F21=0,"-",G21/F21-1)</f>
        <v>-0.228722285508812</v>
      </c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23.85" hidden="false" customHeight="false" outlineLevel="0" collapsed="false">
      <c r="A4" s="3" t="s">
        <v>20</v>
      </c>
      <c r="B4" s="3" t="s">
        <v>2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10" t="n">
        <v>2</v>
      </c>
      <c r="F5" s="11" t="s">
        <v>36</v>
      </c>
      <c r="G5" s="12" t="n">
        <v>6</v>
      </c>
      <c r="H5" s="12" t="n">
        <v>10</v>
      </c>
      <c r="I5" s="13" t="n">
        <f aca="false">(G5+H5)/2</f>
        <v>8</v>
      </c>
      <c r="J5" s="14" t="n">
        <f aca="false">60/I5</f>
        <v>7.5</v>
      </c>
      <c r="K5" s="12" t="n">
        <v>4</v>
      </c>
      <c r="L5" s="12" t="n">
        <v>8</v>
      </c>
      <c r="M5" s="12" t="n">
        <v>6</v>
      </c>
    </row>
    <row r="6" customFormat="false" ht="15" hidden="false" customHeight="false" outlineLevel="0" collapsed="false">
      <c r="A6" s="2" t="s">
        <v>32</v>
      </c>
      <c r="B6" s="2" t="s">
        <v>37</v>
      </c>
      <c r="C6" s="2" t="s">
        <v>38</v>
      </c>
      <c r="D6" s="2" t="s">
        <v>39</v>
      </c>
      <c r="E6" s="10" t="n">
        <v>2</v>
      </c>
      <c r="F6" s="11" t="n">
        <v>10</v>
      </c>
      <c r="G6" s="12" t="n">
        <v>20</v>
      </c>
      <c r="H6" s="12" t="n">
        <v>40</v>
      </c>
      <c r="I6" s="13" t="n">
        <f aca="false">(G6+H6)/2</f>
        <v>30</v>
      </c>
      <c r="J6" s="14" t="n">
        <f aca="false">60/I6</f>
        <v>2</v>
      </c>
    </row>
    <row r="7" customFormat="false" ht="15" hidden="false" customHeight="false" outlineLevel="0" collapsed="false">
      <c r="A7" s="2" t="s">
        <v>32</v>
      </c>
      <c r="B7" s="2" t="s">
        <v>40</v>
      </c>
      <c r="C7" s="2" t="s">
        <v>41</v>
      </c>
      <c r="D7" s="2" t="s">
        <v>42</v>
      </c>
      <c r="E7" s="10" t="n">
        <v>1</v>
      </c>
      <c r="F7" s="11" t="n">
        <v>5</v>
      </c>
      <c r="G7" s="12" t="n">
        <v>30</v>
      </c>
      <c r="H7" s="12" t="n">
        <v>60</v>
      </c>
      <c r="I7" s="13" t="n">
        <f aca="false">(G7+H7)/2</f>
        <v>45</v>
      </c>
      <c r="J7" s="14" t="n">
        <f aca="false">60/I7</f>
        <v>1.33333333333333</v>
      </c>
    </row>
    <row r="9" customFormat="false" ht="15" hidden="false" customHeight="false" outlineLevel="0" collapsed="false">
      <c r="A9" s="2" t="s">
        <v>43</v>
      </c>
      <c r="B9" s="2" t="s">
        <v>33</v>
      </c>
      <c r="C9" s="2" t="s">
        <v>34</v>
      </c>
      <c r="D9" s="2" t="s">
        <v>35</v>
      </c>
      <c r="E9" s="10" t="n">
        <v>2</v>
      </c>
      <c r="F9" s="11" t="s">
        <v>36</v>
      </c>
      <c r="G9" s="12" t="n">
        <v>6</v>
      </c>
      <c r="H9" s="12" t="n">
        <v>10</v>
      </c>
      <c r="I9" s="13" t="n">
        <f aca="false">(G9+H9)/2</f>
        <v>8</v>
      </c>
      <c r="J9" s="14" t="n">
        <f aca="false">60/I9</f>
        <v>7.5</v>
      </c>
      <c r="K9" s="12" t="n">
        <v>4</v>
      </c>
      <c r="L9" s="12" t="n">
        <v>8</v>
      </c>
      <c r="M9" s="12" t="n">
        <v>6</v>
      </c>
    </row>
    <row r="10" customFormat="false" ht="15" hidden="false" customHeight="false" outlineLevel="0" collapsed="false">
      <c r="A10" s="2" t="s">
        <v>43</v>
      </c>
      <c r="B10" s="2" t="s">
        <v>37</v>
      </c>
      <c r="C10" s="2" t="s">
        <v>38</v>
      </c>
      <c r="D10" s="2" t="s">
        <v>39</v>
      </c>
      <c r="E10" s="10" t="n">
        <v>2</v>
      </c>
      <c r="F10" s="11" t="n">
        <v>10</v>
      </c>
      <c r="G10" s="12" t="n">
        <v>20</v>
      </c>
      <c r="H10" s="12" t="n">
        <v>40</v>
      </c>
      <c r="I10" s="13" t="n">
        <f aca="false">(G10+H10)/2</f>
        <v>30</v>
      </c>
      <c r="J10" s="14" t="n">
        <f aca="false">60/I10</f>
        <v>2</v>
      </c>
    </row>
    <row r="11" customFormat="false" ht="15" hidden="false" customHeight="false" outlineLevel="0" collapsed="false">
      <c r="A11" s="2" t="s">
        <v>43</v>
      </c>
      <c r="B11" s="2" t="s">
        <v>40</v>
      </c>
      <c r="C11" s="2" t="s">
        <v>41</v>
      </c>
      <c r="D11" s="2" t="s">
        <v>42</v>
      </c>
      <c r="E11" s="10" t="n">
        <v>1</v>
      </c>
      <c r="F11" s="11" t="n">
        <v>5</v>
      </c>
      <c r="G11" s="12" t="n">
        <v>30</v>
      </c>
      <c r="H11" s="12" t="n">
        <v>60</v>
      </c>
      <c r="I11" s="13" t="n">
        <f aca="false">(G11+H11)/2</f>
        <v>45</v>
      </c>
      <c r="J11" s="14" t="n">
        <f aca="false">60/I11</f>
        <v>1.33333333333333</v>
      </c>
    </row>
    <row r="14" customFormat="false" ht="15" hidden="false" customHeight="false" outlineLevel="0" collapsed="false">
      <c r="A14" s="15" t="s">
        <v>44</v>
      </c>
    </row>
    <row r="15" customFormat="false" ht="23.85" hidden="false" customHeight="false" outlineLevel="0" collapsed="false">
      <c r="A15" s="3" t="s">
        <v>45</v>
      </c>
      <c r="B15" s="3" t="s">
        <v>46</v>
      </c>
      <c r="C15" s="3" t="s">
        <v>47</v>
      </c>
      <c r="D15" s="3" t="s">
        <v>48</v>
      </c>
    </row>
    <row r="16" customFormat="false" ht="15" hidden="false" customHeight="false" outlineLevel="0" collapsed="false">
      <c r="A16" s="2" t="s">
        <v>33</v>
      </c>
      <c r="B16" s="2" t="s">
        <v>37</v>
      </c>
      <c r="C16" s="16" t="n">
        <v>0.45</v>
      </c>
      <c r="D16" s="16" t="n">
        <v>0.3</v>
      </c>
    </row>
    <row r="17" customFormat="false" ht="15" hidden="false" customHeight="false" outlineLevel="0" collapsed="false">
      <c r="A17" s="2" t="s">
        <v>33</v>
      </c>
      <c r="B17" s="2" t="s">
        <v>49</v>
      </c>
      <c r="C17" s="13" t="n">
        <f aca="false">1-SUM(C16)</f>
        <v>0.55</v>
      </c>
      <c r="D17" s="13" t="n">
        <f aca="false">1-SUM(D16)</f>
        <v>0.7</v>
      </c>
    </row>
    <row r="18" customFormat="false" ht="15" hidden="false" customHeight="false" outlineLevel="0" collapsed="false">
      <c r="A18" s="2" t="s">
        <v>37</v>
      </c>
      <c r="B18" s="2" t="s">
        <v>40</v>
      </c>
      <c r="C18" s="17" t="n">
        <v>0.3</v>
      </c>
      <c r="D18" s="17" t="n">
        <v>0.3</v>
      </c>
    </row>
    <row r="19" customFormat="false" ht="15" hidden="false" customHeight="false" outlineLevel="0" collapsed="false">
      <c r="A19" s="2" t="s">
        <v>37</v>
      </c>
      <c r="B19" s="2" t="s">
        <v>33</v>
      </c>
      <c r="C19" s="17" t="n">
        <v>0.1</v>
      </c>
      <c r="D19" s="17" t="n">
        <v>0.1</v>
      </c>
    </row>
    <row r="20" customFormat="false" ht="15" hidden="false" customHeight="false" outlineLevel="0" collapsed="false">
      <c r="A20" s="2" t="s">
        <v>37</v>
      </c>
      <c r="B20" s="2" t="s">
        <v>49</v>
      </c>
      <c r="C20" s="13" t="n">
        <f aca="false">1-SUM(C18:C19)</f>
        <v>0.6</v>
      </c>
      <c r="D20" s="13" t="n">
        <f aca="false">1-SUM(D18:D19)</f>
        <v>0.6</v>
      </c>
    </row>
    <row r="21" customFormat="false" ht="15" hidden="false" customHeight="false" outlineLevel="0" collapsed="false">
      <c r="A21" s="2" t="s">
        <v>40</v>
      </c>
      <c r="B21" s="2" t="s">
        <v>37</v>
      </c>
      <c r="C21" s="17" t="n">
        <v>0.2</v>
      </c>
      <c r="D21" s="17" t="n">
        <v>0.2</v>
      </c>
    </row>
    <row r="22" customFormat="false" ht="15" hidden="false" customHeight="false" outlineLevel="0" collapsed="false">
      <c r="A22" s="2" t="s">
        <v>40</v>
      </c>
      <c r="B22" s="2" t="s">
        <v>49</v>
      </c>
      <c r="C22" s="13" t="n">
        <f aca="false">1-SUM(C21)</f>
        <v>0.8</v>
      </c>
      <c r="D22" s="13" t="n">
        <f aca="false">1-SUM(D21)</f>
        <v>0.8</v>
      </c>
    </row>
    <row r="24" customFormat="false" ht="15" hidden="false" customHeight="false" outlineLevel="0" collapsed="false">
      <c r="A24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2" t="s">
        <v>22</v>
      </c>
      <c r="B3" s="2" t="s">
        <v>35</v>
      </c>
    </row>
    <row r="4" customFormat="false" ht="15" hidden="false" customHeight="false" outlineLevel="0" collapsed="false">
      <c r="A4" s="2" t="s">
        <v>23</v>
      </c>
      <c r="B4" s="18" t="n">
        <f aca="false">Parâmetros!$E$5</f>
        <v>2</v>
      </c>
    </row>
    <row r="5" customFormat="false" ht="15" hidden="false" customHeight="false" outlineLevel="0" collapsed="false">
      <c r="A5" s="2" t="s">
        <v>24</v>
      </c>
      <c r="B5" s="19" t="str">
        <f aca="false">Parâmetros!$F$5</f>
        <v>∞</v>
      </c>
    </row>
    <row r="6" customFormat="false" ht="15" hidden="false" customHeight="false" outlineLevel="0" collapsed="false">
      <c r="A6" s="2" t="s">
        <v>52</v>
      </c>
      <c r="B6" s="20" t="n">
        <f aca="false">Parâmetros!$J$5</f>
        <v>7.5</v>
      </c>
    </row>
    <row r="7" customFormat="false" ht="15" hidden="false" customHeight="false" outlineLevel="0" collapsed="false">
      <c r="A7" s="2" t="s">
        <v>53</v>
      </c>
      <c r="B7" s="21" t="n">
        <v>146269.717459168</v>
      </c>
    </row>
    <row r="8" customFormat="false" ht="15" hidden="false" customHeight="false" outlineLevel="0" collapsed="false">
      <c r="A8" s="2" t="s">
        <v>10</v>
      </c>
      <c r="B8" s="22" t="n">
        <v>0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1799.95110185165</v>
      </c>
      <c r="C11" s="24" t="n">
        <f aca="false">B11/$B$7</f>
        <v>0.0123056989041776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85779.4168018978</v>
      </c>
      <c r="C12" s="24" t="n">
        <f aca="false">B12/$B$7</f>
        <v>0.586446861947644</v>
      </c>
      <c r="D12" s="14" t="n">
        <f aca="false">C12*A12</f>
        <v>0.586446861947644</v>
      </c>
      <c r="E12" s="14" t="n">
        <f aca="false">C12*MIN(A12,$B$4)*$B$6</f>
        <v>4.39835146460733</v>
      </c>
      <c r="F12" s="14" t="n">
        <f aca="false">C12*MIN(A12,$B$4)/$B$4</f>
        <v>0.293223430973822</v>
      </c>
    </row>
    <row r="13" customFormat="false" ht="15" hidden="false" customHeight="false" outlineLevel="0" collapsed="false">
      <c r="A13" s="23" t="n">
        <v>2</v>
      </c>
      <c r="B13" s="21" t="n">
        <v>54849.1453557126</v>
      </c>
      <c r="C13" s="24" t="n">
        <f aca="false">B13/$B$7</f>
        <v>0.374986335575742</v>
      </c>
      <c r="D13" s="14" t="n">
        <f aca="false">C13*A13</f>
        <v>0.749972671151484</v>
      </c>
      <c r="E13" s="14" t="n">
        <f aca="false">C13*MIN(A13,$B$4)*$B$6</f>
        <v>5.62479503363613</v>
      </c>
      <c r="F13" s="14" t="n">
        <f aca="false">C13*MIN(A13,$B$4)/$B$4</f>
        <v>0.374986335575742</v>
      </c>
    </row>
    <row r="14" customFormat="false" ht="15" hidden="false" customHeight="false" outlineLevel="0" collapsed="false">
      <c r="A14" s="23" t="n">
        <v>3</v>
      </c>
      <c r="B14" s="21" t="n">
        <v>3771.2275628848</v>
      </c>
      <c r="C14" s="24" t="n">
        <f aca="false">B14/$B$7</f>
        <v>0.025782695341143</v>
      </c>
      <c r="D14" s="14" t="n">
        <f aca="false">C14*A14</f>
        <v>0.077348086023429</v>
      </c>
      <c r="E14" s="14" t="n">
        <f aca="false">C14*MIN(A14,$B$4)*$B$6</f>
        <v>0.386740430117145</v>
      </c>
      <c r="F14" s="14" t="n">
        <f aca="false">C14*MIN(A14,$B$4)/$B$4</f>
        <v>0.025782695341143</v>
      </c>
    </row>
    <row r="15" customFormat="false" ht="15" hidden="false" customHeight="false" outlineLevel="0" collapsed="false">
      <c r="A15" s="23" t="n">
        <v>4</v>
      </c>
      <c r="B15" s="21" t="n">
        <v>69.9766368214041</v>
      </c>
      <c r="C15" s="24" t="n">
        <f aca="false">B15/$B$7</f>
        <v>0.00047840823129325</v>
      </c>
      <c r="D15" s="14" t="n">
        <f aca="false">C15*A15</f>
        <v>0.001913632925173</v>
      </c>
      <c r="E15" s="14" t="n">
        <f aca="false">C15*MIN(A15,$B$4)*$B$6</f>
        <v>0.00717612346939875</v>
      </c>
      <c r="F15" s="14" t="n">
        <f aca="false">C15*MIN(A15,$B$4)/$B$4</f>
        <v>0.00047840823129325</v>
      </c>
    </row>
    <row r="16" customFormat="false" ht="15" hidden="false" customHeight="false" outlineLevel="0" collapsed="false">
      <c r="A16" s="15" t="s">
        <v>60</v>
      </c>
      <c r="B16" s="25" t="n">
        <f aca="false">SUM(B11:B15)</f>
        <v>146269.717459168</v>
      </c>
      <c r="C16" s="26" t="n">
        <f aca="false">SUM(C11:C15)</f>
        <v>1</v>
      </c>
      <c r="D16" s="27" t="n">
        <f aca="false">SUM(D11:D15)</f>
        <v>1.41568125204773</v>
      </c>
      <c r="E16" s="27" t="n">
        <f aca="false">SUM(E11:E15)</f>
        <v>10.41706305183</v>
      </c>
      <c r="F16" s="28" t="n">
        <f aca="false">SUM(F11:F15)</f>
        <v>0.694470870122</v>
      </c>
    </row>
    <row r="18" customFormat="false" ht="15" hidden="false" customHeight="false" outlineLevel="0" collapsed="false">
      <c r="A18" s="2" t="s">
        <v>61</v>
      </c>
      <c r="B18" s="14" t="n">
        <f aca="false">D16/E16</f>
        <v>0.135900228788481</v>
      </c>
    </row>
    <row r="19" customFormat="false" ht="15" hidden="false" customHeight="false" outlineLevel="0" collapsed="false">
      <c r="A19" s="15" t="s">
        <v>62</v>
      </c>
      <c r="B19" s="29" t="n">
        <f aca="false">B18*60</f>
        <v>8.15401372730886</v>
      </c>
    </row>
    <row r="21" customFormat="false" ht="15" hidden="false" customHeight="false" outlineLevel="0" collapsed="false">
      <c r="A21" s="2" t="s">
        <v>63</v>
      </c>
      <c r="B21" s="2" t="str">
        <f aca="false">IF(ABS(B16-B7)&lt;0.001,"OK","ERRO")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64</v>
      </c>
    </row>
    <row r="3" customFormat="false" ht="15" hidden="false" customHeight="false" outlineLevel="0" collapsed="false">
      <c r="A3" s="2" t="s">
        <v>22</v>
      </c>
      <c r="B3" s="2" t="s">
        <v>39</v>
      </c>
    </row>
    <row r="4" customFormat="false" ht="15" hidden="false" customHeight="false" outlineLevel="0" collapsed="false">
      <c r="A4" s="2" t="s">
        <v>23</v>
      </c>
      <c r="B4" s="18" t="n">
        <f aca="false">Parâmetros!$E$6</f>
        <v>2</v>
      </c>
    </row>
    <row r="5" customFormat="false" ht="15" hidden="false" customHeight="false" outlineLevel="0" collapsed="false">
      <c r="A5" s="2" t="s">
        <v>24</v>
      </c>
      <c r="B5" s="19" t="n">
        <f aca="false">Parâmetros!$F$6</f>
        <v>10</v>
      </c>
    </row>
    <row r="6" customFormat="false" ht="15" hidden="false" customHeight="false" outlineLevel="0" collapsed="false">
      <c r="A6" s="2" t="s">
        <v>52</v>
      </c>
      <c r="B6" s="20" t="n">
        <f aca="false">Parâmetros!$J$6</f>
        <v>2</v>
      </c>
    </row>
    <row r="7" customFormat="false" ht="15" hidden="false" customHeight="false" outlineLevel="0" collapsed="false">
      <c r="A7" s="2" t="s">
        <v>53</v>
      </c>
      <c r="B7" s="21" t="n">
        <v>146269.717459168</v>
      </c>
    </row>
    <row r="8" customFormat="false" ht="15" hidden="false" customHeight="false" outlineLevel="0" collapsed="false">
      <c r="A8" s="2" t="s">
        <v>10</v>
      </c>
      <c r="B8" s="22" t="n">
        <v>2057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68.9358042832464</v>
      </c>
      <c r="C11" s="24" t="n">
        <f aca="false">B11/$B$7</f>
        <v>0.000471292386973333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473.318003565073</v>
      </c>
      <c r="C12" s="24" t="n">
        <f aca="false">B12/$B$7</f>
        <v>0.00323592614921952</v>
      </c>
      <c r="D12" s="14" t="n">
        <f aca="false">C12*A12</f>
        <v>0.00323592614921952</v>
      </c>
      <c r="E12" s="14" t="n">
        <f aca="false">C12*MIN(A12,$B$4)*$B$6</f>
        <v>0.00647185229843903</v>
      </c>
      <c r="F12" s="14" t="n">
        <f aca="false">C12*MIN(A12,$B$4)/$B$4</f>
        <v>0.00161796307460976</v>
      </c>
    </row>
    <row r="13" customFormat="false" ht="15" hidden="false" customHeight="false" outlineLevel="0" collapsed="false">
      <c r="A13" s="23" t="n">
        <v>2</v>
      </c>
      <c r="B13" s="21" t="n">
        <v>998.020987044089</v>
      </c>
      <c r="C13" s="24" t="n">
        <f aca="false">B13/$B$7</f>
        <v>0.00682315522570617</v>
      </c>
      <c r="D13" s="14" t="n">
        <f aca="false">C13*A13</f>
        <v>0.0136463104514123</v>
      </c>
      <c r="E13" s="14" t="n">
        <f aca="false">C13*MIN(A13,$B$4)*$B$6</f>
        <v>0.0272926209028247</v>
      </c>
      <c r="F13" s="14" t="n">
        <f aca="false">C13*MIN(A13,$B$4)/$B$4</f>
        <v>0.00682315522570617</v>
      </c>
    </row>
    <row r="14" customFormat="false" ht="15" hidden="false" customHeight="false" outlineLevel="0" collapsed="false">
      <c r="A14" s="23" t="n">
        <v>3</v>
      </c>
      <c r="B14" s="21" t="n">
        <v>1917.09665392619</v>
      </c>
      <c r="C14" s="24" t="n">
        <f aca="false">B14/$B$7</f>
        <v>0.0131065861562312</v>
      </c>
      <c r="D14" s="14" t="n">
        <f aca="false">C14*A14</f>
        <v>0.0393197584686936</v>
      </c>
      <c r="E14" s="14" t="n">
        <f aca="false">C14*MIN(A14,$B$4)*$B$6</f>
        <v>0.0524263446249248</v>
      </c>
      <c r="F14" s="14" t="n">
        <f aca="false">C14*MIN(A14,$B$4)/$B$4</f>
        <v>0.0131065861562312</v>
      </c>
    </row>
    <row r="15" customFormat="false" ht="15" hidden="false" customHeight="false" outlineLevel="0" collapsed="false">
      <c r="A15" s="23" t="n">
        <v>4</v>
      </c>
      <c r="B15" s="21" t="n">
        <v>3102.75989075005</v>
      </c>
      <c r="C15" s="24" t="n">
        <f aca="false">B15/$B$7</f>
        <v>0.0212125923577872</v>
      </c>
      <c r="D15" s="14" t="n">
        <f aca="false">C15*A15</f>
        <v>0.0848503694311489</v>
      </c>
      <c r="E15" s="14" t="n">
        <f aca="false">C15*MIN(A15,$B$4)*$B$6</f>
        <v>0.0848503694311489</v>
      </c>
      <c r="F15" s="14" t="n">
        <f aca="false">C15*MIN(A15,$B$4)/$B$4</f>
        <v>0.0212125923577872</v>
      </c>
    </row>
    <row r="16" customFormat="false" ht="15" hidden="false" customHeight="false" outlineLevel="0" collapsed="false">
      <c r="A16" s="23" t="n">
        <v>5</v>
      </c>
      <c r="B16" s="21" t="n">
        <v>5724.31662190985</v>
      </c>
      <c r="C16" s="24" t="n">
        <f aca="false">B16/$B$7</f>
        <v>0.0391353502375351</v>
      </c>
      <c r="D16" s="14" t="n">
        <f aca="false">C16*A16</f>
        <v>0.195676751187675</v>
      </c>
      <c r="E16" s="14" t="n">
        <f aca="false">C16*MIN(A16,$B$4)*$B$6</f>
        <v>0.15654140095014</v>
      </c>
      <c r="F16" s="14" t="n">
        <f aca="false">C16*MIN(A16,$B$4)/$B$4</f>
        <v>0.0391353502375351</v>
      </c>
    </row>
    <row r="17" customFormat="false" ht="15" hidden="false" customHeight="false" outlineLevel="0" collapsed="false">
      <c r="A17" s="23" t="n">
        <v>6</v>
      </c>
      <c r="B17" s="21" t="n">
        <v>9481.77895309404</v>
      </c>
      <c r="C17" s="24" t="n">
        <f aca="false">B17/$B$7</f>
        <v>0.064823937024018</v>
      </c>
      <c r="D17" s="14" t="n">
        <f aca="false">C17*A17</f>
        <v>0.388943622144108</v>
      </c>
      <c r="E17" s="14" t="n">
        <f aca="false">C17*MIN(A17,$B$4)*$B$6</f>
        <v>0.259295748096072</v>
      </c>
      <c r="F17" s="14" t="n">
        <f aca="false">C17*MIN(A17,$B$4)/$B$4</f>
        <v>0.064823937024018</v>
      </c>
    </row>
    <row r="18" customFormat="false" ht="15" hidden="false" customHeight="false" outlineLevel="0" collapsed="false">
      <c r="A18" s="23" t="n">
        <v>7</v>
      </c>
      <c r="B18" s="21" t="n">
        <v>16807.0212294292</v>
      </c>
      <c r="C18" s="24" t="n">
        <f aca="false">B18/$B$7</f>
        <v>0.114904311851979</v>
      </c>
      <c r="D18" s="14" t="n">
        <f aca="false">C18*A18</f>
        <v>0.804330182963855</v>
      </c>
      <c r="E18" s="14" t="n">
        <f aca="false">C18*MIN(A18,$B$4)*$B$6</f>
        <v>0.459617247407917</v>
      </c>
      <c r="F18" s="14" t="n">
        <f aca="false">C18*MIN(A18,$B$4)/$B$4</f>
        <v>0.114904311851979</v>
      </c>
    </row>
    <row r="19" customFormat="false" ht="15" hidden="false" customHeight="false" outlineLevel="0" collapsed="false">
      <c r="A19" s="23" t="n">
        <v>8</v>
      </c>
      <c r="B19" s="21" t="n">
        <v>30899.1502329391</v>
      </c>
      <c r="C19" s="24" t="n">
        <f aca="false">B19/$B$7</f>
        <v>0.211247760436569</v>
      </c>
      <c r="D19" s="14" t="n">
        <f aca="false">C19*A19</f>
        <v>1.68998208349255</v>
      </c>
      <c r="E19" s="14" t="n">
        <f aca="false">C19*MIN(A19,$B$4)*$B$6</f>
        <v>0.844991041746277</v>
      </c>
      <c r="F19" s="14" t="n">
        <f aca="false">C19*MIN(A19,$B$4)/$B$4</f>
        <v>0.211247760436569</v>
      </c>
    </row>
    <row r="20" customFormat="false" ht="15" hidden="false" customHeight="false" outlineLevel="0" collapsed="false">
      <c r="A20" s="23" t="n">
        <v>9</v>
      </c>
      <c r="B20" s="21" t="n">
        <v>43355.2211746937</v>
      </c>
      <c r="C20" s="24" t="n">
        <f aca="false">B20/$B$7</f>
        <v>0.296405995224517</v>
      </c>
      <c r="D20" s="14" t="n">
        <f aca="false">C20*A20</f>
        <v>2.66765395702065</v>
      </c>
      <c r="E20" s="14" t="n">
        <f aca="false">C20*MIN(A20,$B$4)*$B$6</f>
        <v>1.18562398089807</v>
      </c>
      <c r="F20" s="14" t="n">
        <f aca="false">C20*MIN(A20,$B$4)/$B$4</f>
        <v>0.296405995224517</v>
      </c>
    </row>
    <row r="21" customFormat="false" ht="15" hidden="false" customHeight="false" outlineLevel="0" collapsed="false">
      <c r="A21" s="23" t="n">
        <v>10</v>
      </c>
      <c r="B21" s="21" t="n">
        <v>33442.0979075339</v>
      </c>
      <c r="C21" s="24" t="n">
        <f aca="false">B21/$B$7</f>
        <v>0.228633092949464</v>
      </c>
      <c r="D21" s="14" t="n">
        <f aca="false">C21*A21</f>
        <v>2.28633092949464</v>
      </c>
      <c r="E21" s="14" t="n">
        <f aca="false">C21*MIN(A21,$B$4)*$B$6</f>
        <v>0.914532371797856</v>
      </c>
      <c r="F21" s="14" t="n">
        <f aca="false">C21*MIN(A21,$B$4)/$B$4</f>
        <v>0.228633092949464</v>
      </c>
    </row>
    <row r="22" customFormat="false" ht="15" hidden="false" customHeight="false" outlineLevel="0" collapsed="false">
      <c r="A22" s="15" t="s">
        <v>60</v>
      </c>
      <c r="B22" s="25" t="n">
        <f aca="false">SUM(B11:B21)</f>
        <v>146269.717459168</v>
      </c>
      <c r="C22" s="26" t="n">
        <f aca="false">SUM(C11:C21)</f>
        <v>1</v>
      </c>
      <c r="D22" s="27" t="n">
        <f aca="false">SUM(D11:D21)</f>
        <v>8.17396989080396</v>
      </c>
      <c r="E22" s="27" t="n">
        <f aca="false">SUM(E11:E21)</f>
        <v>3.99164297815367</v>
      </c>
      <c r="F22" s="28" t="n">
        <f aca="false">SUM(F11:F21)</f>
        <v>0.997910744538417</v>
      </c>
    </row>
    <row r="24" customFormat="false" ht="15" hidden="false" customHeight="false" outlineLevel="0" collapsed="false">
      <c r="A24" s="2" t="s">
        <v>61</v>
      </c>
      <c r="B24" s="14" t="n">
        <f aca="false">D22/E22</f>
        <v>2.04777078900599</v>
      </c>
    </row>
    <row r="25" customFormat="false" ht="15" hidden="false" customHeight="false" outlineLevel="0" collapsed="false">
      <c r="A25" s="15" t="s">
        <v>62</v>
      </c>
      <c r="B25" s="29" t="n">
        <f aca="false">B24*60</f>
        <v>122.866247340359</v>
      </c>
    </row>
    <row r="27" customFormat="false" ht="15" hidden="false" customHeight="false" outlineLevel="0" collapsed="false">
      <c r="A27" s="2" t="s">
        <v>63</v>
      </c>
      <c r="B27" s="2" t="str">
        <f aca="false">IF(ABS(B22-B7)&lt;0.001,"OK","ERRO")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65</v>
      </c>
    </row>
    <row r="3" customFormat="false" ht="15" hidden="false" customHeight="false" outlineLevel="0" collapsed="false">
      <c r="A3" s="2" t="s">
        <v>22</v>
      </c>
      <c r="B3" s="2" t="s">
        <v>42</v>
      </c>
    </row>
    <row r="4" customFormat="false" ht="15" hidden="false" customHeight="false" outlineLevel="0" collapsed="false">
      <c r="A4" s="2" t="s">
        <v>23</v>
      </c>
      <c r="B4" s="18" t="n">
        <f aca="false">Parâmetros!$E$7</f>
        <v>1</v>
      </c>
    </row>
    <row r="5" customFormat="false" ht="15" hidden="false" customHeight="false" outlineLevel="0" collapsed="false">
      <c r="A5" s="2" t="s">
        <v>24</v>
      </c>
      <c r="B5" s="19" t="n">
        <f aca="false">Parâmetros!$F$7</f>
        <v>5</v>
      </c>
    </row>
    <row r="6" customFormat="false" ht="15" hidden="false" customHeight="false" outlineLevel="0" collapsed="false">
      <c r="A6" s="2" t="s">
        <v>52</v>
      </c>
      <c r="B6" s="20" t="n">
        <f aca="false">Parâmetros!$J$7</f>
        <v>1.33333333333333</v>
      </c>
    </row>
    <row r="7" customFormat="false" ht="15" hidden="false" customHeight="false" outlineLevel="0" collapsed="false">
      <c r="A7" s="2" t="s">
        <v>53</v>
      </c>
      <c r="B7" s="21" t="n">
        <v>146269.717459168</v>
      </c>
    </row>
    <row r="8" customFormat="false" ht="15" hidden="false" customHeight="false" outlineLevel="0" collapsed="false">
      <c r="A8" s="2" t="s">
        <v>10</v>
      </c>
      <c r="B8" s="22" t="n">
        <v>79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23583.8175955433</v>
      </c>
      <c r="C11" s="24" t="n">
        <f aca="false">B11/$B$7</f>
        <v>0.161235134689631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41758.0095335674</v>
      </c>
      <c r="C12" s="24" t="n">
        <f aca="false">B12/$B$7</f>
        <v>0.285486362173525</v>
      </c>
      <c r="D12" s="14" t="n">
        <f aca="false">C12*A12</f>
        <v>0.285486362173525</v>
      </c>
      <c r="E12" s="14" t="n">
        <f aca="false">C12*MIN(A12,$B$4)*$B$6</f>
        <v>0.380648482898034</v>
      </c>
      <c r="F12" s="14" t="n">
        <f aca="false">C12*MIN(A12,$B$4)/$B$4</f>
        <v>0.285486362173525</v>
      </c>
    </row>
    <row r="13" customFormat="false" ht="15" hidden="false" customHeight="false" outlineLevel="0" collapsed="false">
      <c r="A13" s="23" t="n">
        <v>2</v>
      </c>
      <c r="B13" s="21" t="n">
        <v>33814.2295845244</v>
      </c>
      <c r="C13" s="24" t="n">
        <f aca="false">B13/$B$7</f>
        <v>0.231177240046039</v>
      </c>
      <c r="D13" s="14" t="n">
        <f aca="false">C13*A13</f>
        <v>0.462354480092077</v>
      </c>
      <c r="E13" s="14" t="n">
        <f aca="false">C13*MIN(A13,$B$4)*$B$6</f>
        <v>0.308236320061385</v>
      </c>
      <c r="F13" s="14" t="n">
        <f aca="false">C13*MIN(A13,$B$4)/$B$4</f>
        <v>0.231177240046039</v>
      </c>
    </row>
    <row r="14" customFormat="false" ht="15" hidden="false" customHeight="false" outlineLevel="0" collapsed="false">
      <c r="A14" s="23" t="n">
        <v>3</v>
      </c>
      <c r="B14" s="21" t="n">
        <v>23065.2667063912</v>
      </c>
      <c r="C14" s="24" t="n">
        <f aca="false">B14/$B$7</f>
        <v>0.15768996554485</v>
      </c>
      <c r="D14" s="14" t="n">
        <f aca="false">C14*A14</f>
        <v>0.473069896634551</v>
      </c>
      <c r="E14" s="14" t="n">
        <f aca="false">C14*MIN(A14,$B$4)*$B$6</f>
        <v>0.210253287393134</v>
      </c>
      <c r="F14" s="14" t="n">
        <f aca="false">C14*MIN(A14,$B$4)/$B$4</f>
        <v>0.15768996554485</v>
      </c>
    </row>
    <row r="15" customFormat="false" ht="15" hidden="false" customHeight="false" outlineLevel="0" collapsed="false">
      <c r="A15" s="23" t="n">
        <v>4</v>
      </c>
      <c r="B15" s="21" t="n">
        <v>17509.3967848048</v>
      </c>
      <c r="C15" s="24" t="n">
        <f aca="false">B15/$B$7</f>
        <v>0.119706232355939</v>
      </c>
      <c r="D15" s="14" t="n">
        <f aca="false">C15*A15</f>
        <v>0.478824929423756</v>
      </c>
      <c r="E15" s="14" t="n">
        <f aca="false">C15*MIN(A15,$B$4)*$B$6</f>
        <v>0.159608309807919</v>
      </c>
      <c r="F15" s="14" t="n">
        <f aca="false">C15*MIN(A15,$B$4)/$B$4</f>
        <v>0.119706232355939</v>
      </c>
    </row>
    <row r="16" customFormat="false" ht="15" hidden="false" customHeight="false" outlineLevel="0" collapsed="false">
      <c r="A16" s="23" t="n">
        <v>5</v>
      </c>
      <c r="B16" s="21" t="n">
        <v>6538.99725433718</v>
      </c>
      <c r="C16" s="24" t="n">
        <f aca="false">B16/$B$7</f>
        <v>0.0447050651900149</v>
      </c>
      <c r="D16" s="14" t="n">
        <f aca="false">C16*A16</f>
        <v>0.223525325950075</v>
      </c>
      <c r="E16" s="14" t="n">
        <f aca="false">C16*MIN(A16,$B$4)*$B$6</f>
        <v>0.0596067535866866</v>
      </c>
      <c r="F16" s="14" t="n">
        <f aca="false">C16*MIN(A16,$B$4)/$B$4</f>
        <v>0.0447050651900149</v>
      </c>
    </row>
    <row r="17" customFormat="false" ht="15" hidden="false" customHeight="false" outlineLevel="0" collapsed="false">
      <c r="A17" s="15" t="s">
        <v>60</v>
      </c>
      <c r="B17" s="25" t="n">
        <f aca="false">SUM(B11:B16)</f>
        <v>146269.717459168</v>
      </c>
      <c r="C17" s="26" t="n">
        <f aca="false">SUM(C11:C16)</f>
        <v>1</v>
      </c>
      <c r="D17" s="27" t="n">
        <f aca="false">SUM(D11:D16)</f>
        <v>1.92326099427398</v>
      </c>
      <c r="E17" s="27" t="n">
        <f aca="false">SUM(E11:E16)</f>
        <v>1.11835315374716</v>
      </c>
      <c r="F17" s="28" t="n">
        <f aca="false">SUM(F11:F16)</f>
        <v>0.838764865310368</v>
      </c>
    </row>
    <row r="19" customFormat="false" ht="15" hidden="false" customHeight="false" outlineLevel="0" collapsed="false">
      <c r="A19" s="2" t="s">
        <v>61</v>
      </c>
      <c r="B19" s="14" t="n">
        <f aca="false">D17/E17</f>
        <v>1.7197259987419</v>
      </c>
    </row>
    <row r="20" customFormat="false" ht="15" hidden="false" customHeight="false" outlineLevel="0" collapsed="false">
      <c r="A20" s="15" t="s">
        <v>62</v>
      </c>
      <c r="B20" s="29" t="n">
        <f aca="false">B19*60</f>
        <v>103.183559924514</v>
      </c>
    </row>
    <row r="22" customFormat="false" ht="15" hidden="false" customHeight="false" outlineLevel="0" collapsed="false">
      <c r="A22" s="2" t="s">
        <v>63</v>
      </c>
      <c r="B22" s="2" t="str">
        <f aca="false">IF(ABS(B17-B7)&lt;0.001,"OK","ERRO")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22</v>
      </c>
      <c r="B3" s="2" t="s">
        <v>35</v>
      </c>
    </row>
    <row r="4" customFormat="false" ht="15" hidden="false" customHeight="false" outlineLevel="0" collapsed="false">
      <c r="A4" s="2" t="s">
        <v>23</v>
      </c>
      <c r="B4" s="18" t="n">
        <f aca="false">Parâmetros!$E$9</f>
        <v>2</v>
      </c>
    </row>
    <row r="5" customFormat="false" ht="15" hidden="false" customHeight="false" outlineLevel="0" collapsed="false">
      <c r="A5" s="2" t="s">
        <v>24</v>
      </c>
      <c r="B5" s="19" t="str">
        <f aca="false">Parâmetros!$F$9</f>
        <v>∞</v>
      </c>
    </row>
    <row r="6" customFormat="false" ht="15" hidden="false" customHeight="false" outlineLevel="0" collapsed="false">
      <c r="A6" s="2" t="s">
        <v>52</v>
      </c>
      <c r="B6" s="20" t="n">
        <f aca="false">Parâmetros!$J$9</f>
        <v>7.5</v>
      </c>
    </row>
    <row r="7" customFormat="false" ht="15" hidden="false" customHeight="false" outlineLevel="0" collapsed="false">
      <c r="A7" s="2" t="s">
        <v>53</v>
      </c>
      <c r="B7" s="21" t="n">
        <v>154191.662644958</v>
      </c>
    </row>
    <row r="8" customFormat="false" ht="15" hidden="false" customHeight="false" outlineLevel="0" collapsed="false">
      <c r="A8" s="2" t="s">
        <v>10</v>
      </c>
      <c r="B8" s="22" t="n">
        <v>0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1939.06857775338</v>
      </c>
      <c r="C11" s="24" t="n">
        <f aca="false">B11/$B$7</f>
        <v>0.0125757031508136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92461.1699494906</v>
      </c>
      <c r="C12" s="24" t="n">
        <f aca="false">B12/$B$7</f>
        <v>0.599650904357856</v>
      </c>
      <c r="D12" s="14" t="n">
        <f aca="false">C12*A12</f>
        <v>0.599650904357856</v>
      </c>
      <c r="E12" s="14" t="n">
        <f aca="false">C12*MIN(A12,$B$4)*$B$6</f>
        <v>4.49738178268392</v>
      </c>
      <c r="F12" s="14" t="n">
        <f aca="false">C12*MIN(A12,$B$4)/$B$4</f>
        <v>0.299825452178928</v>
      </c>
    </row>
    <row r="13" customFormat="false" ht="15" hidden="false" customHeight="false" outlineLevel="0" collapsed="false">
      <c r="A13" s="23" t="n">
        <v>2</v>
      </c>
      <c r="B13" s="21" t="n">
        <v>56785.0519056795</v>
      </c>
      <c r="C13" s="24" t="n">
        <f aca="false">B13/$B$7</f>
        <v>0.368275761034063</v>
      </c>
      <c r="D13" s="14" t="n">
        <f aca="false">C13*A13</f>
        <v>0.736551522068127</v>
      </c>
      <c r="E13" s="14" t="n">
        <f aca="false">C13*MIN(A13,$B$4)*$B$6</f>
        <v>5.52413641551095</v>
      </c>
      <c r="F13" s="14" t="n">
        <f aca="false">C13*MIN(A13,$B$4)/$B$4</f>
        <v>0.368275761034063</v>
      </c>
    </row>
    <row r="14" customFormat="false" ht="15" hidden="false" customHeight="false" outlineLevel="0" collapsed="false">
      <c r="A14" s="23" t="n">
        <v>3</v>
      </c>
      <c r="B14" s="21" t="n">
        <v>2977.11152589601</v>
      </c>
      <c r="C14" s="24" t="n">
        <f aca="false">B14/$B$7</f>
        <v>0.0193078631803271</v>
      </c>
      <c r="D14" s="14" t="n">
        <f aca="false">C14*A14</f>
        <v>0.0579235895409813</v>
      </c>
      <c r="E14" s="14" t="n">
        <f aca="false">C14*MIN(A14,$B$4)*$B$6</f>
        <v>0.289617947704907</v>
      </c>
      <c r="F14" s="14" t="n">
        <f aca="false">C14*MIN(A14,$B$4)/$B$4</f>
        <v>0.0193078631803271</v>
      </c>
    </row>
    <row r="15" customFormat="false" ht="15" hidden="false" customHeight="false" outlineLevel="0" collapsed="false">
      <c r="A15" s="23" t="n">
        <v>4</v>
      </c>
      <c r="B15" s="21" t="n">
        <v>29.2606861386448</v>
      </c>
      <c r="C15" s="24" t="n">
        <f aca="false">B15/$B$7</f>
        <v>0.000189768276939983</v>
      </c>
      <c r="D15" s="14" t="n">
        <f aca="false">C15*A15</f>
        <v>0.000759073107759931</v>
      </c>
      <c r="E15" s="14" t="n">
        <f aca="false">C15*MIN(A15,$B$4)*$B$6</f>
        <v>0.00284652415409974</v>
      </c>
      <c r="F15" s="14" t="n">
        <f aca="false">C15*MIN(A15,$B$4)/$B$4</f>
        <v>0.000189768276939983</v>
      </c>
    </row>
    <row r="16" customFormat="false" ht="15" hidden="false" customHeight="false" outlineLevel="0" collapsed="false">
      <c r="A16" s="15" t="s">
        <v>60</v>
      </c>
      <c r="B16" s="25" t="n">
        <f aca="false">SUM(B11:B15)</f>
        <v>154191.662644958</v>
      </c>
      <c r="C16" s="26" t="n">
        <f aca="false">SUM(C11:C15)</f>
        <v>1</v>
      </c>
      <c r="D16" s="27" t="n">
        <f aca="false">SUM(D11:D15)</f>
        <v>1.39488508907472</v>
      </c>
      <c r="E16" s="27" t="n">
        <f aca="false">SUM(E11:E15)</f>
        <v>10.3139826700539</v>
      </c>
      <c r="F16" s="28" t="n">
        <f aca="false">SUM(F11:F15)</f>
        <v>0.687598844670259</v>
      </c>
    </row>
    <row r="18" customFormat="false" ht="15" hidden="false" customHeight="false" outlineLevel="0" collapsed="false">
      <c r="A18" s="2" t="s">
        <v>61</v>
      </c>
      <c r="B18" s="14" t="n">
        <f aca="false">D16/E16</f>
        <v>0.135242140082773</v>
      </c>
    </row>
    <row r="19" customFormat="false" ht="15" hidden="false" customHeight="false" outlineLevel="0" collapsed="false">
      <c r="A19" s="15" t="s">
        <v>62</v>
      </c>
      <c r="B19" s="29" t="n">
        <f aca="false">B18*60</f>
        <v>8.11452840496641</v>
      </c>
    </row>
    <row r="21" customFormat="false" ht="15" hidden="false" customHeight="false" outlineLevel="0" collapsed="false">
      <c r="A21" s="2" t="s">
        <v>63</v>
      </c>
      <c r="B21" s="2" t="str">
        <f aca="false">IF(ABS(B16-B7)&lt;0.001,"OK","ERRO")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67</v>
      </c>
    </row>
    <row r="3" customFormat="false" ht="15" hidden="false" customHeight="false" outlineLevel="0" collapsed="false">
      <c r="A3" s="2" t="s">
        <v>22</v>
      </c>
      <c r="B3" s="2" t="s">
        <v>39</v>
      </c>
    </row>
    <row r="4" customFormat="false" ht="15" hidden="false" customHeight="false" outlineLevel="0" collapsed="false">
      <c r="A4" s="2" t="s">
        <v>23</v>
      </c>
      <c r="B4" s="18" t="n">
        <f aca="false">Parâmetros!$E$10</f>
        <v>2</v>
      </c>
    </row>
    <row r="5" customFormat="false" ht="15" hidden="false" customHeight="false" outlineLevel="0" collapsed="false">
      <c r="A5" s="2" t="s">
        <v>24</v>
      </c>
      <c r="B5" s="19" t="n">
        <f aca="false">Parâmetros!$F$10</f>
        <v>10</v>
      </c>
    </row>
    <row r="6" customFormat="false" ht="15" hidden="false" customHeight="false" outlineLevel="0" collapsed="false">
      <c r="A6" s="2" t="s">
        <v>52</v>
      </c>
      <c r="B6" s="20" t="n">
        <f aca="false">Parâmetros!$J$10</f>
        <v>2</v>
      </c>
    </row>
    <row r="7" customFormat="false" ht="15" hidden="false" customHeight="false" outlineLevel="0" collapsed="false">
      <c r="A7" s="2" t="s">
        <v>53</v>
      </c>
      <c r="B7" s="21" t="n">
        <v>154191.662644958</v>
      </c>
    </row>
    <row r="8" customFormat="false" ht="15" hidden="false" customHeight="false" outlineLevel="0" collapsed="false">
      <c r="A8" s="2" t="s">
        <v>10</v>
      </c>
      <c r="B8" s="22" t="n">
        <v>19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13755.7628458915</v>
      </c>
      <c r="C11" s="24" t="n">
        <f aca="false">B11/$B$7</f>
        <v>0.0892121053105547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34838.9529565573</v>
      </c>
      <c r="C12" s="24" t="n">
        <f aca="false">B12/$B$7</f>
        <v>0.225945763596683</v>
      </c>
      <c r="D12" s="14" t="n">
        <f aca="false">C12*A12</f>
        <v>0.225945763596683</v>
      </c>
      <c r="E12" s="14" t="n">
        <f aca="false">C12*MIN(A12,$B$4)*$B$6</f>
        <v>0.451891527193367</v>
      </c>
      <c r="F12" s="14" t="n">
        <f aca="false">C12*MIN(A12,$B$4)/$B$4</f>
        <v>0.112972881798342</v>
      </c>
    </row>
    <row r="13" customFormat="false" ht="15" hidden="false" customHeight="false" outlineLevel="0" collapsed="false">
      <c r="A13" s="23" t="n">
        <v>2</v>
      </c>
      <c r="B13" s="21" t="n">
        <v>37189.4851482725</v>
      </c>
      <c r="C13" s="24" t="n">
        <f aca="false">B13/$B$7</f>
        <v>0.241189987255699</v>
      </c>
      <c r="D13" s="14" t="n">
        <f aca="false">C13*A13</f>
        <v>0.482379974511398</v>
      </c>
      <c r="E13" s="14" t="n">
        <f aca="false">C13*MIN(A13,$B$4)*$B$6</f>
        <v>0.964759949022796</v>
      </c>
      <c r="F13" s="14" t="n">
        <f aca="false">C13*MIN(A13,$B$4)/$B$4</f>
        <v>0.241189987255699</v>
      </c>
    </row>
    <row r="14" customFormat="false" ht="15" hidden="false" customHeight="false" outlineLevel="0" collapsed="false">
      <c r="A14" s="23" t="n">
        <v>3</v>
      </c>
      <c r="B14" s="21" t="n">
        <v>28872.3286273032</v>
      </c>
      <c r="C14" s="24" t="n">
        <f aca="false">B14/$B$7</f>
        <v>0.187249609557585</v>
      </c>
      <c r="D14" s="14" t="n">
        <f aca="false">C14*A14</f>
        <v>0.561748828672754</v>
      </c>
      <c r="E14" s="14" t="n">
        <f aca="false">C14*MIN(A14,$B$4)*$B$6</f>
        <v>0.748998438230339</v>
      </c>
      <c r="F14" s="14" t="n">
        <f aca="false">C14*MIN(A14,$B$4)/$B$4</f>
        <v>0.187249609557585</v>
      </c>
    </row>
    <row r="15" customFormat="false" ht="15" hidden="false" customHeight="false" outlineLevel="0" collapsed="false">
      <c r="A15" s="23" t="n">
        <v>4</v>
      </c>
      <c r="B15" s="21" t="n">
        <v>17039.0442472659</v>
      </c>
      <c r="C15" s="24" t="n">
        <f aca="false">B15/$B$7</f>
        <v>0.110505613306084</v>
      </c>
      <c r="D15" s="14" t="n">
        <f aca="false">C15*A15</f>
        <v>0.442022453224336</v>
      </c>
      <c r="E15" s="14" t="n">
        <f aca="false">C15*MIN(A15,$B$4)*$B$6</f>
        <v>0.442022453224336</v>
      </c>
      <c r="F15" s="14" t="n">
        <f aca="false">C15*MIN(A15,$B$4)/$B$4</f>
        <v>0.110505613306084</v>
      </c>
    </row>
    <row r="16" customFormat="false" ht="15" hidden="false" customHeight="false" outlineLevel="0" collapsed="false">
      <c r="A16" s="23" t="n">
        <v>5</v>
      </c>
      <c r="B16" s="21" t="n">
        <v>9475.65576402098</v>
      </c>
      <c r="C16" s="24" t="n">
        <f aca="false">B16/$B$7</f>
        <v>0.0614537491942067</v>
      </c>
      <c r="D16" s="14" t="n">
        <f aca="false">C16*A16</f>
        <v>0.307268745971033</v>
      </c>
      <c r="E16" s="14" t="n">
        <f aca="false">C16*MIN(A16,$B$4)*$B$6</f>
        <v>0.245814996776827</v>
      </c>
      <c r="F16" s="14" t="n">
        <f aca="false">C16*MIN(A16,$B$4)/$B$4</f>
        <v>0.0614537491942067</v>
      </c>
    </row>
    <row r="17" customFormat="false" ht="15" hidden="false" customHeight="false" outlineLevel="0" collapsed="false">
      <c r="A17" s="23" t="n">
        <v>6</v>
      </c>
      <c r="B17" s="21" t="n">
        <v>5719.80337375123</v>
      </c>
      <c r="C17" s="24" t="n">
        <f aca="false">B17/$B$7</f>
        <v>0.0370954127845528</v>
      </c>
      <c r="D17" s="14" t="n">
        <f aca="false">C17*A17</f>
        <v>0.222572476707317</v>
      </c>
      <c r="E17" s="14" t="n">
        <f aca="false">C17*MIN(A17,$B$4)*$B$6</f>
        <v>0.148381651138211</v>
      </c>
      <c r="F17" s="14" t="n">
        <f aca="false">C17*MIN(A17,$B$4)/$B$4</f>
        <v>0.0370954127845528</v>
      </c>
    </row>
    <row r="18" customFormat="false" ht="15" hidden="false" customHeight="false" outlineLevel="0" collapsed="false">
      <c r="A18" s="23" t="n">
        <v>7</v>
      </c>
      <c r="B18" s="21" t="n">
        <v>3614.86460275762</v>
      </c>
      <c r="C18" s="24" t="n">
        <f aca="false">B18/$B$7</f>
        <v>0.0234439692830942</v>
      </c>
      <c r="D18" s="14" t="n">
        <f aca="false">C18*A18</f>
        <v>0.164107784981659</v>
      </c>
      <c r="E18" s="14" t="n">
        <f aca="false">C18*MIN(A18,$B$4)*$B$6</f>
        <v>0.0937758771323767</v>
      </c>
      <c r="F18" s="14" t="n">
        <f aca="false">C18*MIN(A18,$B$4)/$B$4</f>
        <v>0.0234439692830942</v>
      </c>
    </row>
    <row r="19" customFormat="false" ht="15" hidden="false" customHeight="false" outlineLevel="0" collapsed="false">
      <c r="A19" s="23" t="n">
        <v>8</v>
      </c>
      <c r="B19" s="21" t="n">
        <v>2269.19500326645</v>
      </c>
      <c r="C19" s="24" t="n">
        <f aca="false">B19/$B$7</f>
        <v>0.014716716613216</v>
      </c>
      <c r="D19" s="14" t="n">
        <f aca="false">C19*A19</f>
        <v>0.117733732905728</v>
      </c>
      <c r="E19" s="14" t="n">
        <f aca="false">C19*MIN(A19,$B$4)*$B$6</f>
        <v>0.0588668664528639</v>
      </c>
      <c r="F19" s="14" t="n">
        <f aca="false">C19*MIN(A19,$B$4)/$B$4</f>
        <v>0.014716716613216</v>
      </c>
    </row>
    <row r="20" customFormat="false" ht="15" hidden="false" customHeight="false" outlineLevel="0" collapsed="false">
      <c r="A20" s="23" t="n">
        <v>9</v>
      </c>
      <c r="B20" s="21" t="n">
        <v>1076.94461905677</v>
      </c>
      <c r="C20" s="24" t="n">
        <f aca="false">B20/$B$7</f>
        <v>0.00698445428619927</v>
      </c>
      <c r="D20" s="14" t="n">
        <f aca="false">C20*A20</f>
        <v>0.0628600885757934</v>
      </c>
      <c r="E20" s="14" t="n">
        <f aca="false">C20*MIN(A20,$B$4)*$B$6</f>
        <v>0.0279378171447971</v>
      </c>
      <c r="F20" s="14" t="n">
        <f aca="false">C20*MIN(A20,$B$4)/$B$4</f>
        <v>0.00698445428619927</v>
      </c>
    </row>
    <row r="21" customFormat="false" ht="15" hidden="false" customHeight="false" outlineLevel="0" collapsed="false">
      <c r="A21" s="23" t="n">
        <v>10</v>
      </c>
      <c r="B21" s="21" t="n">
        <v>339.625456814654</v>
      </c>
      <c r="C21" s="24" t="n">
        <f aca="false">B21/$B$7</f>
        <v>0.00220261881212525</v>
      </c>
      <c r="D21" s="14" t="n">
        <f aca="false">C21*A21</f>
        <v>0.0220261881212525</v>
      </c>
      <c r="E21" s="14" t="n">
        <f aca="false">C21*MIN(A21,$B$4)*$B$6</f>
        <v>0.00881047524850098</v>
      </c>
      <c r="F21" s="14" t="n">
        <f aca="false">C21*MIN(A21,$B$4)/$B$4</f>
        <v>0.00220261881212525</v>
      </c>
    </row>
    <row r="22" customFormat="false" ht="15" hidden="false" customHeight="false" outlineLevel="0" collapsed="false">
      <c r="A22" s="15" t="s">
        <v>60</v>
      </c>
      <c r="B22" s="25" t="n">
        <f aca="false">SUM(B11:B21)</f>
        <v>154191.662644958</v>
      </c>
      <c r="C22" s="26" t="n">
        <f aca="false">SUM(C11:C21)</f>
        <v>1</v>
      </c>
      <c r="D22" s="27" t="n">
        <f aca="false">SUM(D11:D21)</f>
        <v>2.60866603726796</v>
      </c>
      <c r="E22" s="27" t="n">
        <f aca="false">SUM(E11:E21)</f>
        <v>3.19126005156441</v>
      </c>
      <c r="F22" s="28" t="n">
        <f aca="false">SUM(F11:F21)</f>
        <v>0.797815012891104</v>
      </c>
    </row>
    <row r="24" customFormat="false" ht="15" hidden="false" customHeight="false" outlineLevel="0" collapsed="false">
      <c r="A24" s="2" t="s">
        <v>61</v>
      </c>
      <c r="B24" s="14" t="n">
        <f aca="false">D22/E22</f>
        <v>0.817440758545873</v>
      </c>
    </row>
    <row r="25" customFormat="false" ht="15" hidden="false" customHeight="false" outlineLevel="0" collapsed="false">
      <c r="A25" s="15" t="s">
        <v>62</v>
      </c>
      <c r="B25" s="29" t="n">
        <f aca="false">B24*60</f>
        <v>49.0464455127524</v>
      </c>
    </row>
    <row r="27" customFormat="false" ht="15" hidden="false" customHeight="false" outlineLevel="0" collapsed="false">
      <c r="A27" s="2" t="s">
        <v>63</v>
      </c>
      <c r="B27" s="2" t="str">
        <f aca="false">IF(ABS(B22-B7)&lt;0.001,"OK","ERRO")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2" t="s">
        <v>22</v>
      </c>
      <c r="B3" s="2" t="s">
        <v>42</v>
      </c>
    </row>
    <row r="4" customFormat="false" ht="15" hidden="false" customHeight="false" outlineLevel="0" collapsed="false">
      <c r="A4" s="2" t="s">
        <v>23</v>
      </c>
      <c r="B4" s="18" t="n">
        <f aca="false">Parâmetros!$E$11</f>
        <v>1</v>
      </c>
    </row>
    <row r="5" customFormat="false" ht="15" hidden="false" customHeight="false" outlineLevel="0" collapsed="false">
      <c r="A5" s="2" t="s">
        <v>24</v>
      </c>
      <c r="B5" s="19" t="n">
        <f aca="false">Parâmetros!$F$11</f>
        <v>5</v>
      </c>
    </row>
    <row r="6" customFormat="false" ht="15" hidden="false" customHeight="false" outlineLevel="0" collapsed="false">
      <c r="A6" s="2" t="s">
        <v>52</v>
      </c>
      <c r="B6" s="20" t="n">
        <f aca="false">Parâmetros!$J$11</f>
        <v>1.33333333333333</v>
      </c>
    </row>
    <row r="7" customFormat="false" ht="15" hidden="false" customHeight="false" outlineLevel="0" collapsed="false">
      <c r="A7" s="2" t="s">
        <v>53</v>
      </c>
      <c r="B7" s="21" t="n">
        <v>154191.662644958</v>
      </c>
    </row>
    <row r="8" customFormat="false" ht="15" hidden="false" customHeight="false" outlineLevel="0" collapsed="false">
      <c r="A8" s="2" t="s">
        <v>10</v>
      </c>
      <c r="B8" s="22" t="n">
        <v>15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customFormat="false" ht="15" hidden="false" customHeight="false" outlineLevel="0" collapsed="false">
      <c r="A11" s="23" t="n">
        <v>0</v>
      </c>
      <c r="B11" s="21" t="n">
        <v>43496.9140695827</v>
      </c>
      <c r="C11" s="24" t="n">
        <f aca="false">B11/$B$7</f>
        <v>0.282096407311845</v>
      </c>
      <c r="D11" s="14" t="n">
        <f aca="false">C11*A11</f>
        <v>0</v>
      </c>
      <c r="E11" s="14" t="n">
        <f aca="false">C11*MIN(A11,$B$4)*$B$6</f>
        <v>0</v>
      </c>
      <c r="F11" s="14" t="n">
        <f aca="false">C11*MIN(A11,$B$4)/$B$4</f>
        <v>0</v>
      </c>
    </row>
    <row r="12" customFormat="false" ht="15" hidden="false" customHeight="false" outlineLevel="0" collapsed="false">
      <c r="A12" s="23" t="n">
        <v>1</v>
      </c>
      <c r="B12" s="21" t="n">
        <v>53992.8889684649</v>
      </c>
      <c r="C12" s="24" t="n">
        <f aca="false">B12/$B$7</f>
        <v>0.350167369897223</v>
      </c>
      <c r="D12" s="14" t="n">
        <f aca="false">C12*A12</f>
        <v>0.350167369897223</v>
      </c>
      <c r="E12" s="14" t="n">
        <f aca="false">C12*MIN(A12,$B$4)*$B$6</f>
        <v>0.466889826529631</v>
      </c>
      <c r="F12" s="14" t="n">
        <f aca="false">C12*MIN(A12,$B$4)/$B$4</f>
        <v>0.350167369897223</v>
      </c>
    </row>
    <row r="13" customFormat="false" ht="15" hidden="false" customHeight="false" outlineLevel="0" collapsed="false">
      <c r="A13" s="23" t="n">
        <v>2</v>
      </c>
      <c r="B13" s="21" t="n">
        <v>33062.39108421</v>
      </c>
      <c r="C13" s="24" t="n">
        <f aca="false">B13/$B$7</f>
        <v>0.214423987114916</v>
      </c>
      <c r="D13" s="14" t="n">
        <f aca="false">C13*A13</f>
        <v>0.428847974229833</v>
      </c>
      <c r="E13" s="14" t="n">
        <f aca="false">C13*MIN(A13,$B$4)*$B$6</f>
        <v>0.285898649486555</v>
      </c>
      <c r="F13" s="14" t="n">
        <f aca="false">C13*MIN(A13,$B$4)/$B$4</f>
        <v>0.214423987114916</v>
      </c>
    </row>
    <row r="14" customFormat="false" ht="15" hidden="false" customHeight="false" outlineLevel="0" collapsed="false">
      <c r="A14" s="23" t="n">
        <v>3</v>
      </c>
      <c r="B14" s="21" t="n">
        <v>15228.6786003336</v>
      </c>
      <c r="C14" s="24" t="n">
        <f aca="false">B14/$B$7</f>
        <v>0.0987646046427245</v>
      </c>
      <c r="D14" s="14" t="n">
        <f aca="false">C14*A14</f>
        <v>0.296293813928173</v>
      </c>
      <c r="E14" s="14" t="n">
        <f aca="false">C14*MIN(A14,$B$4)*$B$6</f>
        <v>0.131686139523633</v>
      </c>
      <c r="F14" s="14" t="n">
        <f aca="false">C14*MIN(A14,$B$4)/$B$4</f>
        <v>0.0987646046427245</v>
      </c>
    </row>
    <row r="15" customFormat="false" ht="15" hidden="false" customHeight="false" outlineLevel="0" collapsed="false">
      <c r="A15" s="23" t="n">
        <v>4</v>
      </c>
      <c r="B15" s="21" t="n">
        <v>6674.12494574767</v>
      </c>
      <c r="C15" s="24" t="n">
        <f aca="false">B15/$B$7</f>
        <v>0.0432846032740143</v>
      </c>
      <c r="D15" s="14" t="n">
        <f aca="false">C15*A15</f>
        <v>0.173138413096057</v>
      </c>
      <c r="E15" s="14" t="n">
        <f aca="false">C15*MIN(A15,$B$4)*$B$6</f>
        <v>0.0577128043653524</v>
      </c>
      <c r="F15" s="14" t="n">
        <f aca="false">C15*MIN(A15,$B$4)/$B$4</f>
        <v>0.0432846032740143</v>
      </c>
    </row>
    <row r="16" customFormat="false" ht="15" hidden="false" customHeight="false" outlineLevel="0" collapsed="false">
      <c r="A16" s="23" t="n">
        <v>5</v>
      </c>
      <c r="B16" s="21" t="n">
        <v>1736.66497661918</v>
      </c>
      <c r="C16" s="24" t="n">
        <f aca="false">B16/$B$7</f>
        <v>0.0112630277592767</v>
      </c>
      <c r="D16" s="14" t="n">
        <f aca="false">C16*A16</f>
        <v>0.0563151387963833</v>
      </c>
      <c r="E16" s="14" t="n">
        <f aca="false">C16*MIN(A16,$B$4)*$B$6</f>
        <v>0.0150173703457022</v>
      </c>
      <c r="F16" s="14" t="n">
        <f aca="false">C16*MIN(A16,$B$4)/$B$4</f>
        <v>0.0112630277592767</v>
      </c>
    </row>
    <row r="17" customFormat="false" ht="15" hidden="false" customHeight="false" outlineLevel="0" collapsed="false">
      <c r="A17" s="15" t="s">
        <v>60</v>
      </c>
      <c r="B17" s="25" t="n">
        <f aca="false">SUM(B11:B16)</f>
        <v>154191.662644958</v>
      </c>
      <c r="C17" s="26" t="n">
        <f aca="false">SUM(C11:C16)</f>
        <v>1</v>
      </c>
      <c r="D17" s="27" t="n">
        <f aca="false">SUM(D11:D16)</f>
        <v>1.30476270994767</v>
      </c>
      <c r="E17" s="27" t="n">
        <f aca="false">SUM(E11:E16)</f>
        <v>0.957204790250873</v>
      </c>
      <c r="F17" s="28" t="n">
        <f aca="false">SUM(F11:F16)</f>
        <v>0.717903592688155</v>
      </c>
    </row>
    <row r="19" customFormat="false" ht="15" hidden="false" customHeight="false" outlineLevel="0" collapsed="false">
      <c r="A19" s="2" t="s">
        <v>61</v>
      </c>
      <c r="B19" s="14" t="n">
        <f aca="false">D17/E17</f>
        <v>1.3630967199879</v>
      </c>
    </row>
    <row r="20" customFormat="false" ht="15" hidden="false" customHeight="false" outlineLevel="0" collapsed="false">
      <c r="A20" s="15" t="s">
        <v>62</v>
      </c>
      <c r="B20" s="29" t="n">
        <f aca="false">B19*60</f>
        <v>81.7858031992739</v>
      </c>
    </row>
    <row r="22" customFormat="false" ht="15" hidden="false" customHeight="false" outlineLevel="0" collapsed="false">
      <c r="A22" s="2" t="s">
        <v>63</v>
      </c>
      <c r="B22" s="2" t="str">
        <f aca="false">IF(ABS(B17-B7)&lt;0.001,"OK","ERRO")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20</v>
      </c>
      <c r="B4" s="3" t="s">
        <v>2</v>
      </c>
      <c r="C4" s="3" t="s">
        <v>71</v>
      </c>
      <c r="D4" s="3" t="s">
        <v>10</v>
      </c>
      <c r="E4" s="3" t="s">
        <v>72</v>
      </c>
      <c r="F4" s="3" t="s">
        <v>58</v>
      </c>
      <c r="G4" s="3" t="s">
        <v>59</v>
      </c>
      <c r="H4" s="3" t="s">
        <v>73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n">
        <v>1</v>
      </c>
      <c r="D5" s="22" t="n">
        <v>0</v>
      </c>
      <c r="E5" s="30" t="n">
        <v>1.41568125204773</v>
      </c>
      <c r="F5" s="30" t="n">
        <v>10.41706305183</v>
      </c>
      <c r="G5" s="31" t="n">
        <v>0.694470870122</v>
      </c>
      <c r="H5" s="17" t="n">
        <v>8.15401372730886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n">
        <v>2</v>
      </c>
      <c r="D6" s="22" t="n">
        <v>0</v>
      </c>
      <c r="E6" s="30" t="n">
        <v>1.40478117377424</v>
      </c>
      <c r="F6" s="30" t="n">
        <v>10.3557644187949</v>
      </c>
      <c r="G6" s="31" t="n">
        <v>0.690384294586323</v>
      </c>
      <c r="H6" s="17" t="n">
        <v>8.1391259030073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n">
        <v>3</v>
      </c>
      <c r="D7" s="22" t="n">
        <v>0</v>
      </c>
      <c r="E7" s="30" t="n">
        <v>1.41112482199878</v>
      </c>
      <c r="F7" s="30" t="n">
        <v>10.3869468985734</v>
      </c>
      <c r="G7" s="31" t="n">
        <v>0.692463126571563</v>
      </c>
      <c r="H7" s="17" t="n">
        <v>8.15133553167152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n">
        <v>4</v>
      </c>
      <c r="D8" s="22" t="n">
        <v>0</v>
      </c>
      <c r="E8" s="30" t="n">
        <v>1.41005154497534</v>
      </c>
      <c r="F8" s="30" t="n">
        <v>10.3882635073593</v>
      </c>
      <c r="G8" s="31" t="n">
        <v>0.692550900490619</v>
      </c>
      <c r="H8" s="17" t="n">
        <v>8.14410345276529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n">
        <v>5</v>
      </c>
      <c r="D9" s="22" t="n">
        <v>0</v>
      </c>
      <c r="E9" s="30" t="n">
        <v>1.41506038197857</v>
      </c>
      <c r="F9" s="30" t="n">
        <v>10.4180403658862</v>
      </c>
      <c r="G9" s="31" t="n">
        <v>0.694536024392415</v>
      </c>
      <c r="H9" s="17" t="n">
        <v>8.14967306104231</v>
      </c>
    </row>
    <row r="10" customFormat="false" ht="15" hidden="false" customHeight="false" outlineLevel="0" collapsed="false">
      <c r="A10" s="15" t="s">
        <v>32</v>
      </c>
      <c r="B10" s="15" t="s">
        <v>33</v>
      </c>
      <c r="C10" s="15" t="s">
        <v>74</v>
      </c>
      <c r="D10" s="32" t="n">
        <f aca="false">AVERAGE(D5:D9)</f>
        <v>0</v>
      </c>
      <c r="E10" s="27" t="n">
        <f aca="false">AVERAGE(E5:E9)</f>
        <v>1.41133983495493</v>
      </c>
      <c r="F10" s="27" t="n">
        <f aca="false">AVERAGE(F5:F9)</f>
        <v>10.3932156484888</v>
      </c>
      <c r="G10" s="28" t="n">
        <f aca="false">AVERAGE(G5:G9)</f>
        <v>0.692881043232584</v>
      </c>
      <c r="H10" s="29" t="n">
        <f aca="false">AVERAGE(H5:H9)</f>
        <v>8.14765033515906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75</v>
      </c>
      <c r="D11" s="33" t="n">
        <f aca="false">STDEV(D5:D9)</f>
        <v>0</v>
      </c>
      <c r="E11" s="14" t="n">
        <f aca="false">STDEV(E5:E9)</f>
        <v>0.00439921386882577</v>
      </c>
      <c r="F11" s="14" t="n">
        <f aca="false">STDEV(F5:F9)</f>
        <v>0.0257457801048861</v>
      </c>
      <c r="G11" s="34" t="n">
        <f aca="false">STDEV(G5:G9)</f>
        <v>0.00171638534032576</v>
      </c>
      <c r="H11" s="13" t="n">
        <f aca="false">STDEV(H5:H9)</f>
        <v>0.00598772016738544</v>
      </c>
    </row>
    <row r="13" customFormat="false" ht="15" hidden="false" customHeight="false" outlineLevel="0" collapsed="false">
      <c r="A13" s="2" t="s">
        <v>32</v>
      </c>
      <c r="B13" s="2" t="s">
        <v>37</v>
      </c>
      <c r="C13" s="2" t="n">
        <v>1</v>
      </c>
      <c r="D13" s="22" t="n">
        <v>2057</v>
      </c>
      <c r="E13" s="30" t="n">
        <v>8.17396989080396</v>
      </c>
      <c r="F13" s="30" t="n">
        <v>3.99164297815367</v>
      </c>
      <c r="G13" s="31" t="n">
        <v>0.997910744538417</v>
      </c>
      <c r="H13" s="17" t="n">
        <v>122.86624734036</v>
      </c>
    </row>
    <row r="14" customFormat="false" ht="15" hidden="false" customHeight="false" outlineLevel="0" collapsed="false">
      <c r="A14" s="2" t="s">
        <v>32</v>
      </c>
      <c r="B14" s="2" t="s">
        <v>37</v>
      </c>
      <c r="C14" s="2" t="n">
        <v>2</v>
      </c>
      <c r="D14" s="22" t="n">
        <v>2322</v>
      </c>
      <c r="E14" s="30" t="n">
        <v>8.36617034494946</v>
      </c>
      <c r="F14" s="30" t="n">
        <v>3.99796981609719</v>
      </c>
      <c r="G14" s="31" t="n">
        <v>0.999492454024297</v>
      </c>
      <c r="H14" s="17" t="n">
        <v>125.556280759266</v>
      </c>
    </row>
    <row r="15" customFormat="false" ht="15" hidden="false" customHeight="false" outlineLevel="0" collapsed="false">
      <c r="A15" s="2" t="s">
        <v>32</v>
      </c>
      <c r="B15" s="2" t="s">
        <v>37</v>
      </c>
      <c r="C15" s="2" t="n">
        <v>3</v>
      </c>
      <c r="D15" s="22" t="n">
        <v>2281</v>
      </c>
      <c r="E15" s="30" t="n">
        <v>8.43227902433431</v>
      </c>
      <c r="F15" s="30" t="n">
        <v>3.99856012486839</v>
      </c>
      <c r="G15" s="31" t="n">
        <v>0.999640031217098</v>
      </c>
      <c r="H15" s="17" t="n">
        <v>126.529732118686</v>
      </c>
    </row>
    <row r="16" customFormat="false" ht="15" hidden="false" customHeight="false" outlineLevel="0" collapsed="false">
      <c r="A16" s="2" t="s">
        <v>32</v>
      </c>
      <c r="B16" s="2" t="s">
        <v>37</v>
      </c>
      <c r="C16" s="2" t="n">
        <v>4</v>
      </c>
      <c r="D16" s="22" t="n">
        <v>2405</v>
      </c>
      <c r="E16" s="30" t="n">
        <v>8.47594504973996</v>
      </c>
      <c r="F16" s="30" t="n">
        <v>3.99656930819725</v>
      </c>
      <c r="G16" s="31" t="n">
        <v>0.999142327049313</v>
      </c>
      <c r="H16" s="17" t="n">
        <v>127.248313182336</v>
      </c>
    </row>
    <row r="17" customFormat="false" ht="15" hidden="false" customHeight="false" outlineLevel="0" collapsed="false">
      <c r="A17" s="2" t="s">
        <v>32</v>
      </c>
      <c r="B17" s="2" t="s">
        <v>37</v>
      </c>
      <c r="C17" s="2" t="n">
        <v>5</v>
      </c>
      <c r="D17" s="22" t="n">
        <v>2182</v>
      </c>
      <c r="E17" s="30" t="n">
        <v>8.24549095686411</v>
      </c>
      <c r="F17" s="30" t="n">
        <v>3.98926368262925</v>
      </c>
      <c r="G17" s="31" t="n">
        <v>0.997315920657312</v>
      </c>
      <c r="H17" s="17" t="n">
        <v>124.015231072863</v>
      </c>
    </row>
    <row r="18" customFormat="false" ht="15" hidden="false" customHeight="false" outlineLevel="0" collapsed="false">
      <c r="A18" s="15" t="s">
        <v>32</v>
      </c>
      <c r="B18" s="15" t="s">
        <v>37</v>
      </c>
      <c r="C18" s="15" t="s">
        <v>74</v>
      </c>
      <c r="D18" s="32" t="n">
        <f aca="false">AVERAGE(D13:D17)</f>
        <v>2249.4</v>
      </c>
      <c r="E18" s="27" t="n">
        <f aca="false">AVERAGE(E13:E17)</f>
        <v>8.33877105333836</v>
      </c>
      <c r="F18" s="27" t="n">
        <f aca="false">AVERAGE(F13:F17)</f>
        <v>3.99480118198915</v>
      </c>
      <c r="G18" s="28" t="n">
        <f aca="false">AVERAGE(G13:G17)</f>
        <v>0.998700295497287</v>
      </c>
      <c r="H18" s="29" t="n">
        <f aca="false">AVERAGE(H13:H17)</f>
        <v>125.243160894702</v>
      </c>
    </row>
    <row r="19" customFormat="false" ht="15" hidden="false" customHeight="false" outlineLevel="0" collapsed="false">
      <c r="A19" s="2" t="s">
        <v>32</v>
      </c>
      <c r="B19" s="2" t="s">
        <v>37</v>
      </c>
      <c r="C19" s="2" t="s">
        <v>75</v>
      </c>
      <c r="D19" s="33" t="n">
        <f aca="false">STDEV(D13:D17)</f>
        <v>134.202458993865</v>
      </c>
      <c r="E19" s="14" t="n">
        <f aca="false">STDEV(E13:E17)</f>
        <v>0.126660734523659</v>
      </c>
      <c r="F19" s="14" t="n">
        <f aca="false">STDEV(F13:F17)</f>
        <v>0.00412111376314653</v>
      </c>
      <c r="G19" s="34" t="n">
        <f aca="false">STDEV(G13:G17)</f>
        <v>0.00103027844078667</v>
      </c>
      <c r="H19" s="13" t="n">
        <f aca="false">STDEV(H13:H17)</f>
        <v>1.79801800274308</v>
      </c>
    </row>
    <row r="21" customFormat="false" ht="15" hidden="false" customHeight="false" outlineLevel="0" collapsed="false">
      <c r="A21" s="2" t="s">
        <v>32</v>
      </c>
      <c r="B21" s="2" t="s">
        <v>40</v>
      </c>
      <c r="C21" s="2" t="n">
        <v>1</v>
      </c>
      <c r="D21" s="22" t="n">
        <v>79</v>
      </c>
      <c r="E21" s="30" t="n">
        <v>1.92326099427399</v>
      </c>
      <c r="F21" s="30" t="n">
        <v>1.11835315374716</v>
      </c>
      <c r="G21" s="31" t="n">
        <v>0.838764865310369</v>
      </c>
      <c r="H21" s="17" t="n">
        <v>103.183559924514</v>
      </c>
    </row>
    <row r="22" customFormat="false" ht="15" hidden="false" customHeight="false" outlineLevel="0" collapsed="false">
      <c r="A22" s="2" t="s">
        <v>32</v>
      </c>
      <c r="B22" s="2" t="s">
        <v>40</v>
      </c>
      <c r="C22" s="2" t="n">
        <v>2</v>
      </c>
      <c r="D22" s="22" t="n">
        <v>132</v>
      </c>
      <c r="E22" s="30" t="n">
        <v>2.19496828076005</v>
      </c>
      <c r="F22" s="30" t="n">
        <v>1.16998792335286</v>
      </c>
      <c r="G22" s="31" t="n">
        <v>0.877490942514644</v>
      </c>
      <c r="H22" s="17" t="n">
        <v>112.563637809349</v>
      </c>
    </row>
    <row r="23" customFormat="false" ht="15" hidden="false" customHeight="false" outlineLevel="0" collapsed="false">
      <c r="A23" s="2" t="s">
        <v>32</v>
      </c>
      <c r="B23" s="2" t="s">
        <v>40</v>
      </c>
      <c r="C23" s="2" t="n">
        <v>3</v>
      </c>
      <c r="D23" s="22" t="n">
        <v>103</v>
      </c>
      <c r="E23" s="30" t="n">
        <v>2.16919098238202</v>
      </c>
      <c r="F23" s="30" t="n">
        <v>1.15695083320826</v>
      </c>
      <c r="G23" s="31" t="n">
        <v>0.867713124906193</v>
      </c>
      <c r="H23" s="17" t="n">
        <v>112.495237660193</v>
      </c>
    </row>
    <row r="24" customFormat="false" ht="15" hidden="false" customHeight="false" outlineLevel="0" collapsed="false">
      <c r="A24" s="2" t="s">
        <v>32</v>
      </c>
      <c r="B24" s="2" t="s">
        <v>40</v>
      </c>
      <c r="C24" s="2" t="n">
        <v>4</v>
      </c>
      <c r="D24" s="22" t="n">
        <v>163</v>
      </c>
      <c r="E24" s="30" t="n">
        <v>2.18299558493472</v>
      </c>
      <c r="F24" s="30" t="n">
        <v>1.15878854510669</v>
      </c>
      <c r="G24" s="31" t="n">
        <v>0.869091408830016</v>
      </c>
      <c r="H24" s="17" t="n">
        <v>113.031610166654</v>
      </c>
    </row>
    <row r="25" customFormat="false" ht="15" hidden="false" customHeight="false" outlineLevel="0" collapsed="false">
      <c r="A25" s="2" t="s">
        <v>32</v>
      </c>
      <c r="B25" s="2" t="s">
        <v>40</v>
      </c>
      <c r="C25" s="2" t="n">
        <v>5</v>
      </c>
      <c r="D25" s="22" t="n">
        <v>146</v>
      </c>
      <c r="E25" s="30" t="n">
        <v>2.18999027237302</v>
      </c>
      <c r="F25" s="30" t="n">
        <v>1.16263319725305</v>
      </c>
      <c r="G25" s="31" t="n">
        <v>0.871974897939787</v>
      </c>
      <c r="H25" s="17" t="n">
        <v>113.018806492743</v>
      </c>
    </row>
    <row r="26" customFormat="false" ht="15" hidden="false" customHeight="false" outlineLevel="0" collapsed="false">
      <c r="A26" s="15" t="s">
        <v>32</v>
      </c>
      <c r="B26" s="15" t="s">
        <v>40</v>
      </c>
      <c r="C26" s="15" t="s">
        <v>74</v>
      </c>
      <c r="D26" s="32" t="n">
        <f aca="false">AVERAGE(D21:D25)</f>
        <v>124.6</v>
      </c>
      <c r="E26" s="27" t="n">
        <f aca="false">AVERAGE(E21:E25)</f>
        <v>2.13208122294476</v>
      </c>
      <c r="F26" s="27" t="n">
        <f aca="false">AVERAGE(F21:F25)</f>
        <v>1.1533427305336</v>
      </c>
      <c r="G26" s="28" t="n">
        <f aca="false">AVERAGE(G21:G25)</f>
        <v>0.865007047900202</v>
      </c>
      <c r="H26" s="29" t="n">
        <f aca="false">AVERAGE(H21:H25)</f>
        <v>110.85857041069</v>
      </c>
    </row>
    <row r="27" customFormat="false" ht="15" hidden="false" customHeight="false" outlineLevel="0" collapsed="false">
      <c r="A27" s="2" t="s">
        <v>32</v>
      </c>
      <c r="B27" s="2" t="s">
        <v>40</v>
      </c>
      <c r="C27" s="2" t="s">
        <v>75</v>
      </c>
      <c r="D27" s="33" t="n">
        <f aca="false">STDEV(D21:D25)</f>
        <v>33.6645213837951</v>
      </c>
      <c r="E27" s="14" t="n">
        <f aca="false">STDEV(E21:E25)</f>
        <v>0.11713617550825</v>
      </c>
      <c r="F27" s="14" t="n">
        <f aca="false">STDEV(F21:F25)</f>
        <v>0.0201886168472803</v>
      </c>
      <c r="G27" s="34" t="n">
        <f aca="false">STDEV(G21:G25)</f>
        <v>0.0151414626354602</v>
      </c>
      <c r="H27" s="13" t="n">
        <f aca="false">STDEV(H21:H25)</f>
        <v>4.29768665079471</v>
      </c>
    </row>
    <row r="29" customFormat="false" ht="15" hidden="false" customHeight="false" outlineLevel="0" collapsed="false">
      <c r="A29" s="2" t="s">
        <v>43</v>
      </c>
      <c r="B29" s="2" t="s">
        <v>33</v>
      </c>
      <c r="C29" s="2" t="n">
        <v>1</v>
      </c>
      <c r="D29" s="22" t="n">
        <v>0</v>
      </c>
      <c r="E29" s="30" t="n">
        <v>1.39488508907472</v>
      </c>
      <c r="F29" s="30" t="n">
        <v>10.3139826700539</v>
      </c>
      <c r="G29" s="31" t="n">
        <v>0.687598844670258</v>
      </c>
      <c r="H29" s="17" t="n">
        <v>8.11452840496641</v>
      </c>
    </row>
    <row r="30" customFormat="false" ht="15" hidden="false" customHeight="false" outlineLevel="0" collapsed="false">
      <c r="A30" s="2" t="s">
        <v>43</v>
      </c>
      <c r="B30" s="2" t="s">
        <v>33</v>
      </c>
      <c r="C30" s="2" t="n">
        <v>2</v>
      </c>
      <c r="D30" s="22" t="n">
        <v>0</v>
      </c>
      <c r="E30" s="30" t="n">
        <v>1.40656119390452</v>
      </c>
      <c r="F30" s="30" t="n">
        <v>10.3630483811675</v>
      </c>
      <c r="G30" s="31" t="n">
        <v>0.690869892077835</v>
      </c>
      <c r="H30" s="17" t="n">
        <v>8.14371105201414</v>
      </c>
    </row>
    <row r="31" customFormat="false" ht="15" hidden="false" customHeight="false" outlineLevel="0" collapsed="false">
      <c r="A31" s="2" t="s">
        <v>43</v>
      </c>
      <c r="B31" s="2" t="s">
        <v>33</v>
      </c>
      <c r="C31" s="2" t="n">
        <v>3</v>
      </c>
      <c r="D31" s="22" t="n">
        <v>0</v>
      </c>
      <c r="E31" s="30" t="n">
        <v>1.39854042505951</v>
      </c>
      <c r="F31" s="30" t="n">
        <v>10.3285490305602</v>
      </c>
      <c r="G31" s="31" t="n">
        <v>0.68856993537068</v>
      </c>
      <c r="H31" s="17" t="n">
        <v>8.12431884239402</v>
      </c>
    </row>
    <row r="32" customFormat="false" ht="15" hidden="false" customHeight="false" outlineLevel="0" collapsed="false">
      <c r="A32" s="2" t="s">
        <v>43</v>
      </c>
      <c r="B32" s="2" t="s">
        <v>33</v>
      </c>
      <c r="C32" s="2" t="n">
        <v>4</v>
      </c>
      <c r="D32" s="22" t="n">
        <v>0</v>
      </c>
      <c r="E32" s="30" t="n">
        <v>1.40824699461638</v>
      </c>
      <c r="F32" s="30" t="n">
        <v>10.3729702387231</v>
      </c>
      <c r="G32" s="31" t="n">
        <v>0.691531349248205</v>
      </c>
      <c r="H32" s="17" t="n">
        <v>8.14567262147897</v>
      </c>
    </row>
    <row r="33" customFormat="false" ht="15" hidden="false" customHeight="false" outlineLevel="0" collapsed="false">
      <c r="A33" s="2" t="s">
        <v>43</v>
      </c>
      <c r="B33" s="2" t="s">
        <v>33</v>
      </c>
      <c r="C33" s="2" t="n">
        <v>5</v>
      </c>
      <c r="D33" s="22" t="n">
        <v>0</v>
      </c>
      <c r="E33" s="30" t="n">
        <v>1.39539099827095</v>
      </c>
      <c r="F33" s="30" t="n">
        <v>10.3085680685575</v>
      </c>
      <c r="G33" s="31" t="n">
        <v>0.687237871237167</v>
      </c>
      <c r="H33" s="17" t="n">
        <v>8.12173517596729</v>
      </c>
    </row>
    <row r="34" customFormat="false" ht="15" hidden="false" customHeight="false" outlineLevel="0" collapsed="false">
      <c r="A34" s="15" t="s">
        <v>43</v>
      </c>
      <c r="B34" s="15" t="s">
        <v>33</v>
      </c>
      <c r="C34" s="15" t="s">
        <v>74</v>
      </c>
      <c r="D34" s="32" t="n">
        <f aca="false">AVERAGE(D29:D33)</f>
        <v>0</v>
      </c>
      <c r="E34" s="27" t="n">
        <f aca="false">AVERAGE(E29:E33)</f>
        <v>1.40072494018522</v>
      </c>
      <c r="F34" s="27" t="n">
        <f aca="false">AVERAGE(F29:F33)</f>
        <v>10.3374236778124</v>
      </c>
      <c r="G34" s="28" t="n">
        <f aca="false">AVERAGE(G29:G33)</f>
        <v>0.689161578520829</v>
      </c>
      <c r="H34" s="29" t="n">
        <f aca="false">AVERAGE(H29:H33)</f>
        <v>8.12999321936416</v>
      </c>
    </row>
    <row r="35" customFormat="false" ht="15" hidden="false" customHeight="false" outlineLevel="0" collapsed="false">
      <c r="A35" s="2" t="s">
        <v>43</v>
      </c>
      <c r="B35" s="2" t="s">
        <v>33</v>
      </c>
      <c r="C35" s="2" t="s">
        <v>75</v>
      </c>
      <c r="D35" s="33" t="n">
        <f aca="false">STDEV(D29:D33)</f>
        <v>0</v>
      </c>
      <c r="E35" s="14" t="n">
        <f aca="false">STDEV(E29:E33)</f>
        <v>0.00628430712197881</v>
      </c>
      <c r="F35" s="14" t="n">
        <f aca="false">STDEV(F29:F33)</f>
        <v>0.0290734836606808</v>
      </c>
      <c r="G35" s="34" t="n">
        <f aca="false">STDEV(G29:G33)</f>
        <v>0.00193823224404539</v>
      </c>
      <c r="H35" s="13" t="n">
        <f aca="false">STDEV(H29:H33)</f>
        <v>0.0139066252411523</v>
      </c>
    </row>
    <row r="37" customFormat="false" ht="15" hidden="false" customHeight="false" outlineLevel="0" collapsed="false">
      <c r="A37" s="2" t="s">
        <v>43</v>
      </c>
      <c r="B37" s="2" t="s">
        <v>37</v>
      </c>
      <c r="C37" s="2" t="n">
        <v>1</v>
      </c>
      <c r="D37" s="22" t="n">
        <v>19</v>
      </c>
      <c r="E37" s="30" t="n">
        <v>2.60866603726795</v>
      </c>
      <c r="F37" s="30" t="n">
        <v>3.19126005156441</v>
      </c>
      <c r="G37" s="31" t="n">
        <v>0.797815012891104</v>
      </c>
      <c r="H37" s="17" t="n">
        <v>49.0464455127523</v>
      </c>
    </row>
    <row r="38" customFormat="false" ht="15" hidden="false" customHeight="false" outlineLevel="0" collapsed="false">
      <c r="A38" s="2" t="s">
        <v>43</v>
      </c>
      <c r="B38" s="2" t="s">
        <v>37</v>
      </c>
      <c r="C38" s="2" t="n">
        <v>2</v>
      </c>
      <c r="D38" s="22" t="n">
        <v>25</v>
      </c>
      <c r="E38" s="30" t="n">
        <v>2.82534499097601</v>
      </c>
      <c r="F38" s="30" t="n">
        <v>3.30026829017066</v>
      </c>
      <c r="G38" s="31" t="n">
        <v>0.825067072542664</v>
      </c>
      <c r="H38" s="17" t="n">
        <v>51.3657328900963</v>
      </c>
    </row>
    <row r="39" customFormat="false" ht="15" hidden="false" customHeight="false" outlineLevel="0" collapsed="false">
      <c r="A39" s="2" t="s">
        <v>43</v>
      </c>
      <c r="B39" s="2" t="s">
        <v>37</v>
      </c>
      <c r="C39" s="2" t="n">
        <v>3</v>
      </c>
      <c r="D39" s="22" t="n">
        <v>33</v>
      </c>
      <c r="E39" s="30" t="n">
        <v>2.85359245810866</v>
      </c>
      <c r="F39" s="30" t="n">
        <v>3.28467263694278</v>
      </c>
      <c r="G39" s="31" t="n">
        <v>0.821168159235695</v>
      </c>
      <c r="H39" s="17" t="n">
        <v>52.1256047134971</v>
      </c>
    </row>
    <row r="40" customFormat="false" ht="15" hidden="false" customHeight="false" outlineLevel="0" collapsed="false">
      <c r="A40" s="2" t="s">
        <v>43</v>
      </c>
      <c r="B40" s="2" t="s">
        <v>37</v>
      </c>
      <c r="C40" s="2" t="n">
        <v>4</v>
      </c>
      <c r="D40" s="22" t="n">
        <v>43</v>
      </c>
      <c r="E40" s="30" t="n">
        <v>3.09387009388168</v>
      </c>
      <c r="F40" s="30" t="n">
        <v>3.33964538777848</v>
      </c>
      <c r="G40" s="31" t="n">
        <v>0.834911346944621</v>
      </c>
      <c r="H40" s="17" t="n">
        <v>55.5844061504932</v>
      </c>
    </row>
    <row r="41" customFormat="false" ht="15" hidden="false" customHeight="false" outlineLevel="0" collapsed="false">
      <c r="A41" s="2" t="s">
        <v>43</v>
      </c>
      <c r="B41" s="2" t="s">
        <v>37</v>
      </c>
      <c r="C41" s="2" t="n">
        <v>5</v>
      </c>
      <c r="D41" s="22" t="n">
        <v>30</v>
      </c>
      <c r="E41" s="30" t="n">
        <v>2.82902707642674</v>
      </c>
      <c r="F41" s="30" t="n">
        <v>3.29777554828438</v>
      </c>
      <c r="G41" s="31" t="n">
        <v>0.824443887071095</v>
      </c>
      <c r="H41" s="17" t="n">
        <v>51.4715516869879</v>
      </c>
    </row>
    <row r="42" customFormat="false" ht="15" hidden="false" customHeight="false" outlineLevel="0" collapsed="false">
      <c r="A42" s="15" t="s">
        <v>43</v>
      </c>
      <c r="B42" s="15" t="s">
        <v>37</v>
      </c>
      <c r="C42" s="15" t="s">
        <v>74</v>
      </c>
      <c r="D42" s="32" t="n">
        <f aca="false">AVERAGE(D37:D41)</f>
        <v>30</v>
      </c>
      <c r="E42" s="27" t="n">
        <f aca="false">AVERAGE(E37:E41)</f>
        <v>2.84210013133221</v>
      </c>
      <c r="F42" s="27" t="n">
        <f aca="false">AVERAGE(F37:F41)</f>
        <v>3.28272438294814</v>
      </c>
      <c r="G42" s="28" t="n">
        <f aca="false">AVERAGE(G37:G41)</f>
        <v>0.820681095737036</v>
      </c>
      <c r="H42" s="29" t="n">
        <f aca="false">AVERAGE(H37:H41)</f>
        <v>51.9187481907654</v>
      </c>
    </row>
    <row r="43" customFormat="false" ht="15" hidden="false" customHeight="false" outlineLevel="0" collapsed="false">
      <c r="A43" s="2" t="s">
        <v>43</v>
      </c>
      <c r="B43" s="2" t="s">
        <v>37</v>
      </c>
      <c r="C43" s="2" t="s">
        <v>75</v>
      </c>
      <c r="D43" s="33" t="n">
        <f aca="false">STDEV(D37:D41)</f>
        <v>9</v>
      </c>
      <c r="E43" s="14" t="n">
        <f aca="false">STDEV(E37:E41)</f>
        <v>0.172092492123722</v>
      </c>
      <c r="F43" s="14" t="n">
        <f aca="false">STDEV(F37:F41)</f>
        <v>0.0550995613834784</v>
      </c>
      <c r="G43" s="34" t="n">
        <f aca="false">STDEV(G37:G41)</f>
        <v>0.0137748903458695</v>
      </c>
      <c r="H43" s="13" t="n">
        <f aca="false">STDEV(H37:H41)</f>
        <v>2.3577410379746</v>
      </c>
    </row>
    <row r="45" customFormat="false" ht="15" hidden="false" customHeight="false" outlineLevel="0" collapsed="false">
      <c r="A45" s="2" t="s">
        <v>43</v>
      </c>
      <c r="B45" s="2" t="s">
        <v>40</v>
      </c>
      <c r="C45" s="2" t="n">
        <v>1</v>
      </c>
      <c r="D45" s="22" t="n">
        <v>15</v>
      </c>
      <c r="E45" s="30" t="n">
        <v>1.30476270994767</v>
      </c>
      <c r="F45" s="30" t="n">
        <v>0.957204790250873</v>
      </c>
      <c r="G45" s="31" t="n">
        <v>0.717903592688155</v>
      </c>
      <c r="H45" s="17" t="n">
        <v>81.7858031992739</v>
      </c>
    </row>
    <row r="46" customFormat="false" ht="15" hidden="false" customHeight="false" outlineLevel="0" collapsed="false">
      <c r="A46" s="2" t="s">
        <v>43</v>
      </c>
      <c r="B46" s="2" t="s">
        <v>40</v>
      </c>
      <c r="C46" s="2" t="n">
        <v>2</v>
      </c>
      <c r="D46" s="22" t="n">
        <v>32</v>
      </c>
      <c r="E46" s="30" t="n">
        <v>1.3751723417863</v>
      </c>
      <c r="F46" s="30" t="n">
        <v>0.975368869097814</v>
      </c>
      <c r="G46" s="31" t="n">
        <v>0.731526651823361</v>
      </c>
      <c r="H46" s="17" t="n">
        <v>84.5939860511415</v>
      </c>
    </row>
    <row r="47" customFormat="false" ht="15" hidden="false" customHeight="false" outlineLevel="0" collapsed="false">
      <c r="A47" s="2" t="s">
        <v>43</v>
      </c>
      <c r="B47" s="2" t="s">
        <v>40</v>
      </c>
      <c r="C47" s="2" t="n">
        <v>3</v>
      </c>
      <c r="D47" s="22" t="n">
        <v>33</v>
      </c>
      <c r="E47" s="30" t="n">
        <v>1.39335862489791</v>
      </c>
      <c r="F47" s="30" t="n">
        <v>0.970303494294256</v>
      </c>
      <c r="G47" s="31" t="n">
        <v>0.727727620720692</v>
      </c>
      <c r="H47" s="17" t="n">
        <v>86.1601735802068</v>
      </c>
    </row>
    <row r="48" customFormat="false" ht="15" hidden="false" customHeight="false" outlineLevel="0" collapsed="false">
      <c r="A48" s="2" t="s">
        <v>43</v>
      </c>
      <c r="B48" s="2" t="s">
        <v>40</v>
      </c>
      <c r="C48" s="2" t="n">
        <v>4</v>
      </c>
      <c r="D48" s="22" t="n">
        <v>35</v>
      </c>
      <c r="E48" s="30" t="n">
        <v>1.38930425101755</v>
      </c>
      <c r="F48" s="30" t="n">
        <v>0.972201327156678</v>
      </c>
      <c r="G48" s="31" t="n">
        <v>0.729150995367509</v>
      </c>
      <c r="H48" s="17" t="n">
        <v>85.7417622591037</v>
      </c>
    </row>
    <row r="49" customFormat="false" ht="15" hidden="false" customHeight="false" outlineLevel="0" collapsed="false">
      <c r="A49" s="2" t="s">
        <v>43</v>
      </c>
      <c r="B49" s="2" t="s">
        <v>40</v>
      </c>
      <c r="C49" s="2" t="n">
        <v>5</v>
      </c>
      <c r="D49" s="22" t="n">
        <v>28</v>
      </c>
      <c r="E49" s="30" t="n">
        <v>1.48083520571888</v>
      </c>
      <c r="F49" s="30" t="n">
        <v>0.995720294714835</v>
      </c>
      <c r="G49" s="31" t="n">
        <v>0.746790221036126</v>
      </c>
      <c r="H49" s="17" t="n">
        <v>89.2319990008625</v>
      </c>
    </row>
    <row r="50" customFormat="false" ht="15" hidden="false" customHeight="false" outlineLevel="0" collapsed="false">
      <c r="A50" s="15" t="s">
        <v>43</v>
      </c>
      <c r="B50" s="15" t="s">
        <v>40</v>
      </c>
      <c r="C50" s="15" t="s">
        <v>74</v>
      </c>
      <c r="D50" s="32" t="n">
        <f aca="false">AVERAGE(D45:D49)</f>
        <v>28.6</v>
      </c>
      <c r="E50" s="27" t="n">
        <f aca="false">AVERAGE(E45:E49)</f>
        <v>1.38868662667366</v>
      </c>
      <c r="F50" s="27" t="n">
        <f aca="false">AVERAGE(F45:F49)</f>
        <v>0.974159755102891</v>
      </c>
      <c r="G50" s="28" t="n">
        <f aca="false">AVERAGE(G45:G49)</f>
        <v>0.730619816327168</v>
      </c>
      <c r="H50" s="29" t="n">
        <f aca="false">AVERAGE(H45:H49)</f>
        <v>85.5027448181177</v>
      </c>
    </row>
    <row r="51" customFormat="false" ht="15" hidden="false" customHeight="false" outlineLevel="0" collapsed="false">
      <c r="A51" s="2" t="s">
        <v>43</v>
      </c>
      <c r="B51" s="2" t="s">
        <v>40</v>
      </c>
      <c r="C51" s="2" t="s">
        <v>75</v>
      </c>
      <c r="D51" s="33" t="n">
        <f aca="false">STDEV(D45:D49)</f>
        <v>8.01872807869178</v>
      </c>
      <c r="E51" s="14" t="n">
        <f aca="false">STDEV(E45:E49)</f>
        <v>0.0627284412008175</v>
      </c>
      <c r="F51" s="14" t="n">
        <f aca="false">STDEV(F45:F49)</f>
        <v>0.0138969047416033</v>
      </c>
      <c r="G51" s="34" t="n">
        <f aca="false">STDEV(G45:G49)</f>
        <v>0.0104226785562025</v>
      </c>
      <c r="H51" s="13" t="n">
        <f aca="false">STDEV(H45:H49)</f>
        <v>2.69435410480351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2026-10-07T17:46:28Z</dcterms:created>
  <dc:creator>openpyxl</dc:creator>
  <dc:description/>
  <dc:language>pt-BR</dc:language>
  <cp:lastModifiedBy/>
  <dcterms:modified xsi:type="dcterms:W3CDTF">2026-10-07T17:46:29Z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